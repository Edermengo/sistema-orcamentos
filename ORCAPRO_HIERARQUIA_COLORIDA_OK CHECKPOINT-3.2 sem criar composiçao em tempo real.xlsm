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CHATGPT\EXCEL ORCAPRO\"/>
    </mc:Choice>
  </mc:AlternateContent>
  <xr:revisionPtr revIDLastSave="0" documentId="13_ncr:1_{5B7C3AEE-E6B7-4455-B331-8636A304215E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PLANILHA ORÇAMENTARIA" sheetId="1" r:id="rId1"/>
    <sheet name="ORC_COPY" sheetId="27" r:id="rId2"/>
    <sheet name="COMP_COPY" sheetId="28" r:id="rId3"/>
    <sheet name="PLANILHA DE COMPOSIÇÕES" sheetId="2" r:id="rId4"/>
  </sheets>
  <definedNames>
    <definedName name="_xleta.ROUND" hidden="1" xlm="1">#NAME?</definedName>
    <definedName name="_xleta.SUM" hidden="1" xlm="1">#NAME?</definedName>
    <definedName name="solver_adj" localSheetId="3" hidden="1">'PLANILHA DE COMPOSIÇÕES'!$F$14:$F$200</definedName>
    <definedName name="solver_cvg" localSheetId="3" hidden="1">0.0001</definedName>
    <definedName name="solver_cvg" localSheetId="0" hidden="1">0.0001</definedName>
    <definedName name="solver_drv" localSheetId="3" hidden="1">2</definedName>
    <definedName name="solver_drv" localSheetId="0" hidden="1">1</definedName>
    <definedName name="solver_eng" localSheetId="3" hidden="1">1</definedName>
    <definedName name="solver_eng" localSheetId="0" hidden="1">1</definedName>
    <definedName name="solver_est" localSheetId="3" hidden="1">1</definedName>
    <definedName name="solver_est" localSheetId="0" hidden="1">1</definedName>
    <definedName name="solver_itr" localSheetId="3" hidden="1">2147483647</definedName>
    <definedName name="solver_itr" localSheetId="0" hidden="1">2147483647</definedName>
    <definedName name="solver_lhs1" localSheetId="3" hidden="1">'PLANILHA DE COMPOSIÇÕES'!$F:$F</definedName>
    <definedName name="solver_mip" localSheetId="3" hidden="1">2147483647</definedName>
    <definedName name="solver_mip" localSheetId="0" hidden="1">2147483647</definedName>
    <definedName name="solver_mni" localSheetId="3" hidden="1">30</definedName>
    <definedName name="solver_mni" localSheetId="0" hidden="1">30</definedName>
    <definedName name="solver_mrt" localSheetId="3" hidden="1">0.075</definedName>
    <definedName name="solver_mrt" localSheetId="0" hidden="1">0.075</definedName>
    <definedName name="solver_msl" localSheetId="3" hidden="1">2</definedName>
    <definedName name="solver_msl" localSheetId="0" hidden="1">2</definedName>
    <definedName name="solver_neg" localSheetId="3" hidden="1">1</definedName>
    <definedName name="solver_neg" localSheetId="0" hidden="1">1</definedName>
    <definedName name="solver_nod" localSheetId="3" hidden="1">2147483647</definedName>
    <definedName name="solver_nod" localSheetId="0" hidden="1">2147483647</definedName>
    <definedName name="solver_num" localSheetId="3" hidden="1">1</definedName>
    <definedName name="solver_num" localSheetId="0" hidden="1">0</definedName>
    <definedName name="solver_nwt" localSheetId="3" hidden="1">1</definedName>
    <definedName name="solver_nwt" localSheetId="0" hidden="1">1</definedName>
    <definedName name="solver_opt" localSheetId="3" hidden="1">'PLANILHA DE COMPOSIÇÕES'!$G$6</definedName>
    <definedName name="solver_opt" localSheetId="0" hidden="1">'PLANILHA ORÇAMENTARIA'!$J$5</definedName>
    <definedName name="solver_pre" localSheetId="3" hidden="1">0.000001</definedName>
    <definedName name="solver_pre" localSheetId="0" hidden="1">0.000001</definedName>
    <definedName name="solver_rbv" localSheetId="3" hidden="1">2</definedName>
    <definedName name="solver_rbv" localSheetId="0" hidden="1">1</definedName>
    <definedName name="solver_rel1" localSheetId="3" hidden="1">2</definedName>
    <definedName name="solver_rhs1" localSheetId="3" hidden="1">'PLANILHA DE COMPOSIÇÕES'!$F$22</definedName>
    <definedName name="solver_rlx" localSheetId="3" hidden="1">2</definedName>
    <definedName name="solver_rlx" localSheetId="0" hidden="1">2</definedName>
    <definedName name="solver_rsd" localSheetId="3" hidden="1">0</definedName>
    <definedName name="solver_rsd" localSheetId="0" hidden="1">0</definedName>
    <definedName name="solver_scl" localSheetId="3" hidden="1">2</definedName>
    <definedName name="solver_scl" localSheetId="0" hidden="1">1</definedName>
    <definedName name="solver_sho" localSheetId="3" hidden="1">2</definedName>
    <definedName name="solver_sho" localSheetId="0" hidden="1">2</definedName>
    <definedName name="solver_ssz" localSheetId="3" hidden="1">100</definedName>
    <definedName name="solver_ssz" localSheetId="0" hidden="1">100</definedName>
    <definedName name="solver_tim" localSheetId="3" hidden="1">2147483647</definedName>
    <definedName name="solver_tim" localSheetId="0" hidden="1">2147483647</definedName>
    <definedName name="solver_tol" localSheetId="3" hidden="1">0.01</definedName>
    <definedName name="solver_tol" localSheetId="0" hidden="1">0.01</definedName>
    <definedName name="solver_typ" localSheetId="3" hidden="1">3</definedName>
    <definedName name="solver_typ" localSheetId="0" hidden="1">3</definedName>
    <definedName name="solver_val" localSheetId="3" hidden="1">79889.32</definedName>
    <definedName name="solver_val" localSheetId="0" hidden="1">79985.32</definedName>
    <definedName name="solver_ver" localSheetId="3" hidden="1">3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27" l="1"/>
  <c r="J28" i="27"/>
  <c r="J27" i="27"/>
  <c r="J24" i="27"/>
  <c r="J23" i="27"/>
  <c r="J16" i="27"/>
  <c r="J15" i="27"/>
  <c r="J9" i="27"/>
  <c r="J8" i="27"/>
  <c r="J32" i="27"/>
  <c r="J31" i="27"/>
  <c r="J30" i="27"/>
  <c r="J29" i="27"/>
  <c r="J26" i="27"/>
  <c r="J25" i="27"/>
  <c r="J22" i="27"/>
  <c r="J21" i="27"/>
  <c r="J20" i="27"/>
  <c r="J19" i="27"/>
  <c r="J18" i="27"/>
  <c r="J17" i="27"/>
  <c r="J14" i="27"/>
  <c r="J13" i="27"/>
  <c r="J12" i="27"/>
  <c r="J11" i="27"/>
  <c r="J10" i="27"/>
  <c r="I32" i="27"/>
  <c r="I31" i="27"/>
  <c r="I30" i="27"/>
  <c r="I29" i="27"/>
  <c r="I26" i="27"/>
  <c r="I25" i="27"/>
  <c r="I22" i="27"/>
  <c r="I21" i="27"/>
  <c r="I20" i="27"/>
  <c r="I19" i="27"/>
  <c r="I18" i="27"/>
  <c r="I17" i="27"/>
  <c r="I14" i="27"/>
  <c r="I13" i="27"/>
  <c r="I12" i="27"/>
  <c r="I11" i="27"/>
  <c r="I10" i="27"/>
  <c r="H32" i="27"/>
  <c r="H31" i="27"/>
  <c r="H30" i="27"/>
  <c r="H29" i="27"/>
  <c r="H26" i="27"/>
  <c r="H25" i="27"/>
  <c r="H22" i="27"/>
  <c r="H21" i="27"/>
  <c r="H20" i="27"/>
  <c r="H19" i="27"/>
  <c r="H18" i="27"/>
  <c r="H17" i="27"/>
  <c r="H14" i="27"/>
  <c r="H13" i="27"/>
  <c r="H12" i="27"/>
  <c r="H11" i="27"/>
  <c r="H10" i="27"/>
  <c r="G192" i="28"/>
  <c r="G189" i="28"/>
  <c r="G188" i="28"/>
  <c r="G187" i="28"/>
  <c r="G186" i="28"/>
  <c r="G185" i="28"/>
  <c r="G184" i="28"/>
  <c r="G183" i="28"/>
  <c r="G180" i="28"/>
  <c r="G179" i="28"/>
  <c r="G178" i="28"/>
  <c r="G177" i="28"/>
  <c r="G176" i="28"/>
  <c r="G175" i="28"/>
  <c r="G174" i="28" s="1"/>
  <c r="G171" i="28"/>
  <c r="G170" i="28"/>
  <c r="G169" i="28"/>
  <c r="G168" i="28"/>
  <c r="G167" i="28"/>
  <c r="G166" i="28"/>
  <c r="G165" i="28"/>
  <c r="G164" i="28"/>
  <c r="G163" i="28"/>
  <c r="G162" i="28" s="1"/>
  <c r="G157" i="28"/>
  <c r="G156" i="28"/>
  <c r="G155" i="28"/>
  <c r="G154" i="28"/>
  <c r="G153" i="28"/>
  <c r="G152" i="28"/>
  <c r="G151" i="28"/>
  <c r="G150" i="28"/>
  <c r="G149" i="28"/>
  <c r="G148" i="28"/>
  <c r="G147" i="28"/>
  <c r="G146" i="28" s="1"/>
  <c r="G143" i="28"/>
  <c r="G142" i="28"/>
  <c r="G141" i="28"/>
  <c r="G140" i="28"/>
  <c r="G139" i="28"/>
  <c r="G138" i="28"/>
  <c r="G137" i="28"/>
  <c r="G136" i="28"/>
  <c r="G135" i="28"/>
  <c r="G134" i="28"/>
  <c r="G133" i="28"/>
  <c r="G132" i="28"/>
  <c r="G144" i="28" s="1"/>
  <c r="G127" i="28"/>
  <c r="G126" i="28"/>
  <c r="G125" i="28"/>
  <c r="G124" i="28"/>
  <c r="G123" i="28"/>
  <c r="G122" i="28"/>
  <c r="G121" i="28"/>
  <c r="G120" i="28"/>
  <c r="G119" i="28"/>
  <c r="G118" i="28"/>
  <c r="G117" i="28"/>
  <c r="G116" i="28"/>
  <c r="G115" i="28"/>
  <c r="G114" i="28"/>
  <c r="G113" i="28"/>
  <c r="G112" i="28"/>
  <c r="G111" i="28" s="1"/>
  <c r="G108" i="28"/>
  <c r="G107" i="28"/>
  <c r="G106" i="28"/>
  <c r="G105" i="28"/>
  <c r="G104" i="28"/>
  <c r="G103" i="28" s="1"/>
  <c r="G100" i="28"/>
  <c r="G99" i="28"/>
  <c r="G98" i="28"/>
  <c r="G97" i="28"/>
  <c r="G96" i="28"/>
  <c r="G95" i="28"/>
  <c r="G92" i="28"/>
  <c r="G91" i="28"/>
  <c r="G90" i="28"/>
  <c r="G89" i="28"/>
  <c r="G88" i="28"/>
  <c r="G87" i="28"/>
  <c r="G86" i="28" s="1"/>
  <c r="G83" i="28"/>
  <c r="G82" i="28"/>
  <c r="G81" i="28"/>
  <c r="G80" i="28"/>
  <c r="G77" i="28" s="1"/>
  <c r="G79" i="28"/>
  <c r="G78" i="28"/>
  <c r="G74" i="28"/>
  <c r="G73" i="28"/>
  <c r="G72" i="28"/>
  <c r="G71" i="28"/>
  <c r="G70" i="28"/>
  <c r="G69" i="28"/>
  <c r="G68" i="28"/>
  <c r="G65" i="28" s="1"/>
  <c r="G67" i="28"/>
  <c r="G66" i="28"/>
  <c r="G60" i="28"/>
  <c r="G59" i="28"/>
  <c r="G58" i="28"/>
  <c r="G57" i="28"/>
  <c r="G56" i="28"/>
  <c r="G55" i="28"/>
  <c r="G54" i="28"/>
  <c r="G51" i="28" s="1"/>
  <c r="G53" i="28"/>
  <c r="G52" i="28"/>
  <c r="G48" i="28"/>
  <c r="G47" i="28"/>
  <c r="G46" i="28"/>
  <c r="G45" i="28"/>
  <c r="G44" i="28"/>
  <c r="G42" i="28" s="1"/>
  <c r="G43" i="28"/>
  <c r="G39" i="28"/>
  <c r="G38" i="28"/>
  <c r="G36" i="28" s="1"/>
  <c r="G37" i="28"/>
  <c r="G33" i="28"/>
  <c r="G32" i="28"/>
  <c r="G31" i="28"/>
  <c r="G30" i="28"/>
  <c r="G29" i="28"/>
  <c r="G28" i="28"/>
  <c r="G27" i="28"/>
  <c r="G26" i="28"/>
  <c r="G24" i="28" s="1"/>
  <c r="G25" i="28"/>
  <c r="G21" i="28"/>
  <c r="G20" i="28"/>
  <c r="G19" i="28"/>
  <c r="G18" i="28"/>
  <c r="G17" i="28"/>
  <c r="G16" i="28"/>
  <c r="G15" i="28"/>
  <c r="G14" i="28"/>
  <c r="G12" i="28" s="1"/>
  <c r="G13" i="28"/>
  <c r="G6" i="28"/>
  <c r="G4" i="28"/>
  <c r="C4" i="28"/>
  <c r="C3" i="28"/>
  <c r="G2" i="28"/>
  <c r="C2" i="28"/>
  <c r="G199" i="2"/>
  <c r="G198" i="2"/>
  <c r="G197" i="2"/>
  <c r="G196" i="2"/>
  <c r="G195" i="2"/>
  <c r="G194" i="2"/>
  <c r="G193" i="2"/>
  <c r="G192" i="2" s="1"/>
  <c r="G189" i="2"/>
  <c r="G188" i="2"/>
  <c r="G187" i="2"/>
  <c r="G186" i="2"/>
  <c r="G185" i="2"/>
  <c r="G184" i="2"/>
  <c r="G183" i="2" s="1"/>
  <c r="G180" i="2"/>
  <c r="G179" i="2"/>
  <c r="G178" i="2"/>
  <c r="G177" i="2"/>
  <c r="G176" i="2"/>
  <c r="G175" i="2"/>
  <c r="G174" i="2" s="1"/>
  <c r="G171" i="2"/>
  <c r="G170" i="2"/>
  <c r="G169" i="2"/>
  <c r="G168" i="2"/>
  <c r="G167" i="2"/>
  <c r="G166" i="2"/>
  <c r="G165" i="2"/>
  <c r="G164" i="2"/>
  <c r="G163" i="2"/>
  <c r="G162" i="2" s="1"/>
  <c r="G157" i="2"/>
  <c r="G156" i="2"/>
  <c r="G155" i="2"/>
  <c r="G154" i="2"/>
  <c r="G153" i="2"/>
  <c r="G152" i="2"/>
  <c r="G151" i="2"/>
  <c r="G150" i="2"/>
  <c r="G149" i="2"/>
  <c r="G148" i="2"/>
  <c r="G147" i="2"/>
  <c r="G146" i="2" s="1"/>
  <c r="G143" i="2"/>
  <c r="G142" i="2"/>
  <c r="G141" i="2"/>
  <c r="G140" i="2"/>
  <c r="G139" i="2"/>
  <c r="G138" i="2"/>
  <c r="G137" i="2"/>
  <c r="G136" i="2"/>
  <c r="G135" i="2"/>
  <c r="G134" i="2"/>
  <c r="G133" i="2"/>
  <c r="G132" i="2" s="1"/>
  <c r="G127" i="2"/>
  <c r="G126" i="2"/>
  <c r="G125" i="2"/>
  <c r="G124" i="2"/>
  <c r="G123" i="2"/>
  <c r="G122" i="2"/>
  <c r="G121" i="2"/>
  <c r="G120" i="2"/>
  <c r="G119" i="2"/>
  <c r="G118" i="2"/>
  <c r="G117" i="2"/>
  <c r="G116" i="2"/>
  <c r="G111" i="2" s="1"/>
  <c r="G115" i="2"/>
  <c r="G114" i="2"/>
  <c r="G113" i="2"/>
  <c r="G112" i="2"/>
  <c r="G108" i="2"/>
  <c r="G107" i="2"/>
  <c r="G106" i="2"/>
  <c r="G105" i="2"/>
  <c r="G104" i="2"/>
  <c r="G103" i="2" s="1"/>
  <c r="G95" i="2"/>
  <c r="G101" i="2" s="1"/>
  <c r="G100" i="2"/>
  <c r="G99" i="2"/>
  <c r="G98" i="2"/>
  <c r="G97" i="2"/>
  <c r="G96" i="2"/>
  <c r="G92" i="2"/>
  <c r="G91" i="2"/>
  <c r="G90" i="2"/>
  <c r="G89" i="2"/>
  <c r="G88" i="2"/>
  <c r="G87" i="2"/>
  <c r="G86" i="2" s="1"/>
  <c r="G83" i="2"/>
  <c r="G82" i="2"/>
  <c r="G81" i="2"/>
  <c r="G80" i="2"/>
  <c r="G79" i="2"/>
  <c r="G78" i="2"/>
  <c r="G77" i="2" s="1"/>
  <c r="G74" i="2"/>
  <c r="G73" i="2"/>
  <c r="G72" i="2"/>
  <c r="G71" i="2"/>
  <c r="G70" i="2"/>
  <c r="G69" i="2"/>
  <c r="G68" i="2"/>
  <c r="G67" i="2"/>
  <c r="G66" i="2"/>
  <c r="G65" i="2" s="1"/>
  <c r="G60" i="2"/>
  <c r="G59" i="2"/>
  <c r="G58" i="2"/>
  <c r="G57" i="2"/>
  <c r="G56" i="2"/>
  <c r="G55" i="2"/>
  <c r="G54" i="2"/>
  <c r="G53" i="2"/>
  <c r="G52" i="2"/>
  <c r="G51" i="2" s="1"/>
  <c r="G48" i="2"/>
  <c r="G47" i="2"/>
  <c r="G46" i="2"/>
  <c r="G45" i="2"/>
  <c r="G44" i="2"/>
  <c r="G43" i="2"/>
  <c r="G42" i="2" s="1"/>
  <c r="G39" i="2"/>
  <c r="G38" i="2"/>
  <c r="G36" i="2" s="1"/>
  <c r="G37" i="2"/>
  <c r="G33" i="2"/>
  <c r="G32" i="2"/>
  <c r="G31" i="2"/>
  <c r="G30" i="2"/>
  <c r="G29" i="2"/>
  <c r="G28" i="2"/>
  <c r="G27" i="2"/>
  <c r="G26" i="2"/>
  <c r="G24" i="2" s="1"/>
  <c r="G25" i="2"/>
  <c r="G21" i="2"/>
  <c r="G20" i="2"/>
  <c r="G19" i="2"/>
  <c r="G18" i="2"/>
  <c r="G17" i="2"/>
  <c r="G16" i="2"/>
  <c r="G15" i="2"/>
  <c r="G14" i="2"/>
  <c r="G12" i="2" s="1"/>
  <c r="G13" i="2"/>
  <c r="G6" i="2"/>
  <c r="C4" i="2"/>
  <c r="C3" i="2"/>
  <c r="C2" i="2"/>
  <c r="G4" i="2"/>
  <c r="G2" i="2"/>
  <c r="G49" i="28" l="1"/>
  <c r="G50" i="28" s="1"/>
  <c r="G34" i="28"/>
  <c r="G35" i="28" s="1"/>
  <c r="G158" i="28"/>
  <c r="G159" i="28" s="1"/>
  <c r="G93" i="28"/>
  <c r="G94" i="28" s="1"/>
  <c r="G109" i="28"/>
  <c r="G110" i="28" s="1"/>
  <c r="G85" i="28"/>
  <c r="G84" i="28"/>
  <c r="G22" i="28"/>
  <c r="G23" i="28" s="1"/>
  <c r="G172" i="28"/>
  <c r="G173" i="28" s="1"/>
  <c r="G75" i="28"/>
  <c r="G76" i="28" s="1"/>
  <c r="G40" i="28"/>
  <c r="G41" i="28" s="1"/>
  <c r="G128" i="28"/>
  <c r="G129" i="28"/>
  <c r="G182" i="28"/>
  <c r="G181" i="28"/>
  <c r="G61" i="28"/>
  <c r="G62" i="28" s="1"/>
  <c r="G102" i="28"/>
  <c r="G145" i="28"/>
  <c r="G101" i="28"/>
  <c r="G190" i="28"/>
  <c r="G191" i="28" s="1"/>
  <c r="G109" i="2"/>
  <c r="G110" i="2" s="1"/>
  <c r="G40" i="2"/>
  <c r="G41" i="2" s="1"/>
  <c r="G181" i="2"/>
  <c r="G182" i="2" s="1"/>
  <c r="G200" i="2"/>
  <c r="G201" i="2" s="1"/>
  <c r="G61" i="2"/>
  <c r="G62" i="2" s="1"/>
  <c r="G84" i="2"/>
  <c r="G85" i="2" s="1"/>
  <c r="G93" i="2"/>
  <c r="G94" i="2" s="1"/>
  <c r="G172" i="2"/>
  <c r="G173" i="2" s="1"/>
  <c r="G50" i="2"/>
  <c r="G49" i="2"/>
  <c r="G34" i="2"/>
  <c r="G35" i="2" s="1"/>
  <c r="G158" i="2"/>
  <c r="G159" i="2" s="1"/>
  <c r="G128" i="2"/>
  <c r="G129" i="2" s="1"/>
  <c r="G75" i="2"/>
  <c r="G76" i="2" s="1"/>
  <c r="G144" i="2"/>
  <c r="G145" i="2" s="1"/>
  <c r="G23" i="2"/>
  <c r="G22" i="2"/>
  <c r="G190" i="2"/>
  <c r="G191" i="2" s="1"/>
  <c r="G102" i="2"/>
</calcChain>
</file>

<file path=xl/sharedStrings.xml><?xml version="1.0" encoding="utf-8"?>
<sst xmlns="http://schemas.openxmlformats.org/spreadsheetml/2006/main" count="1439" uniqueCount="265">
  <si>
    <t>OBRA:</t>
  </si>
  <si>
    <t xml:space="preserve">PAVIMENTAÇÃO EM ESTRADAS VICINAIS </t>
  </si>
  <si>
    <t>LOCAL:</t>
  </si>
  <si>
    <t>RAFAEL GODEIRO</t>
  </si>
  <si>
    <t>DATA:</t>
  </si>
  <si>
    <t>LICITAÇÃO:</t>
  </si>
  <si>
    <t>CE01-2025</t>
  </si>
  <si>
    <t>ITEM</t>
  </si>
  <si>
    <t>CODIGO</t>
  </si>
  <si>
    <t>BASE</t>
  </si>
  <si>
    <t>DESCRIÇÃO</t>
  </si>
  <si>
    <t>UND</t>
  </si>
  <si>
    <t>QTDE</t>
  </si>
  <si>
    <t>UNIT S/ BDI</t>
  </si>
  <si>
    <t>UNIT C/ BDI</t>
  </si>
  <si>
    <t xml:space="preserve">VALOR TOTAL </t>
  </si>
  <si>
    <t>1 - CAPÍTULO</t>
  </si>
  <si>
    <t>BDI %:</t>
  </si>
  <si>
    <t>5 - SERVIÇO</t>
  </si>
  <si>
    <t>SINAPI</t>
  </si>
  <si>
    <t>1</t>
  </si>
  <si>
    <t>1.1</t>
  </si>
  <si>
    <t>1.1.1</t>
  </si>
  <si>
    <t>2 - SUBCAPÍTULO 1</t>
  </si>
  <si>
    <t>1.1.2</t>
  </si>
  <si>
    <t>PEDREIRO COM ENCARGOS COMPLEMENTARES</t>
  </si>
  <si>
    <t>H</t>
  </si>
  <si>
    <t>CÓDIGO</t>
  </si>
  <si>
    <t>UNIDADE</t>
  </si>
  <si>
    <t>QTDE/COEF.</t>
  </si>
  <si>
    <t>VALOR UNIT.</t>
  </si>
  <si>
    <t>TOTAL</t>
  </si>
  <si>
    <t>UN</t>
  </si>
  <si>
    <t>ARGAMASSA PARA REVESTIMENTO DECORATIVO MONOCAMADA (MONOCAPA), MISTURA E PROJEÇÃO DE 1,5 M3/H DE ARGAMASSA. AF_08/2019</t>
  </si>
  <si>
    <t>M3</t>
  </si>
  <si>
    <t>2</t>
  </si>
  <si>
    <t>2.1</t>
  </si>
  <si>
    <t>3</t>
  </si>
  <si>
    <t>3.1</t>
  </si>
  <si>
    <t>ALIMENTACAO - HORISTA (COLETADO CAIXA - ENCARGOS COMPLEMENTARES)</t>
  </si>
  <si>
    <t>TRANSPORTE - HORISTA (COLETADO CAIXA - ENCARGOS COMPLEMENTARES)</t>
  </si>
  <si>
    <t>EXAMES - HORISTA (COLETADO CAIXA - ENCARGOS COMPLEMENTARES)</t>
  </si>
  <si>
    <t>SEGURO - HORISTA (COLETADO CAIXA - ENCARGOS COMPLEMENTARES)</t>
  </si>
  <si>
    <t>Total com BDI</t>
  </si>
  <si>
    <t>PEDREIRO (HORISTA)</t>
  </si>
  <si>
    <t>FERRAMENTAS - FAMILIA PEDREIRO - HORISTA (ENCARGOS COMPLEMENTARES - COLETADO CAIXA)</t>
  </si>
  <si>
    <t>EPI - FAMILIA PEDREIRO - HORISTA (ENCARGOS COMPLEMENTARES - COLETADO CAIXA)</t>
  </si>
  <si>
    <t>CURSO DE CAPACITAÇÃO PARA PEDREIRO (ENCARGOS COMPLEMENTARES) - HORISTA</t>
  </si>
  <si>
    <t>CHP</t>
  </si>
  <si>
    <t>CHI</t>
  </si>
  <si>
    <t>SERVENTE COM ENCARGOS COMPLEMENTARES</t>
  </si>
  <si>
    <t>ARGAMASSA PARA REVESTIMENTO DECORATIVO MONOCAMADA</t>
  </si>
  <si>
    <t>KG</t>
  </si>
  <si>
    <t>OPERADOR DE BETONEIRA ESTACIONÁRIA/MISTURADOR COM ENCARGOS COMPLEMENTARES</t>
  </si>
  <si>
    <t>PROJETOR DE ARGAMASSA, CAPACIDADE DE PROJEÇÃO 1,5 M3/H, ALCANCE DE 30 ATÉ 60 M, MOTOR ELÉTRICO POTÊNCIA 7,5 HP - CHP DIURNO. AF_06/2014</t>
  </si>
  <si>
    <t>PROJETOR DE ARGAMASSA, CAPACIDADE DE PROJEÇÃO 1,5 M3/H, ALCANCE DE 30 ATÉ 60 M, MOTOR ELÉTRICO POTÊNCIA 7,5 HP - CHI DIURNO. AF_06/2014</t>
  </si>
  <si>
    <t>FERRAMENTAS - FAMILIA PINTOR - HORISTA (ENCARGOS COMPLEMENTARES - COLETADO CAIXA)</t>
  </si>
  <si>
    <t>EPI - FAMILIA PINTOR - HORISTA (ENCARGOS COMPLEMENTARES - COLETADO CAIXA)</t>
  </si>
  <si>
    <t>M2</t>
  </si>
  <si>
    <t>0,67000000</t>
  </si>
  <si>
    <t/>
  </si>
  <si>
    <t>1,00000000</t>
  </si>
  <si>
    <t>R$ 16,21</t>
  </si>
  <si>
    <t>R$ 2,40</t>
  </si>
  <si>
    <t>R$ 0,58</t>
  </si>
  <si>
    <t>R$ 1,34</t>
  </si>
  <si>
    <t>R$ 0,04</t>
  </si>
  <si>
    <t>R$ 0,82</t>
  </si>
  <si>
    <t>R$ 1,24</t>
  </si>
  <si>
    <t>R$ 0,39</t>
  </si>
  <si>
    <t>R$ 18,73</t>
  </si>
  <si>
    <t>R$ 2,87</t>
  </si>
  <si>
    <t>6,28000000</t>
  </si>
  <si>
    <t>R$ 22,61</t>
  </si>
  <si>
    <t>R$ 13,39</t>
  </si>
  <si>
    <t>5,61000000</t>
  </si>
  <si>
    <t>R$ 6,15</t>
  </si>
  <si>
    <t>R$ 17,57</t>
  </si>
  <si>
    <t>R$ 1,97</t>
  </si>
  <si>
    <t>R$ 1,73</t>
  </si>
  <si>
    <t>R$ 0,29</t>
  </si>
  <si>
    <t>R$ 23,02</t>
  </si>
  <si>
    <t>3.1.1</t>
  </si>
  <si>
    <t>EMBOÇO OU MASSA ÚNICA EM ARGAMASSA INDUSTRIALIZADA, PREPARO MECÂNICO E APLICAÇÃO COM EQUIPAMENTO DE MISTURA E PROJEÇÃO DE 1,5 M3/H DE ARGAMASSA EM PANOS CEGOS DE FACHADA (SEM PRESENÇA DE VÃOS), ESPESSURA DE 45 MM. AF_08/2022</t>
  </si>
  <si>
    <t>TELA DE ACO SOLDADA GALVANIZADA/ZINCADA PARA ALVENARIA, FIO D = *1,24 MM, MALHA 25 X 25 MM</t>
  </si>
  <si>
    <t>0,15810000</t>
  </si>
  <si>
    <t>R$ 16,82</t>
  </si>
  <si>
    <t>ARGAMASSA INDUSTRIALIZADA PARA REVESTIMENTOS, MISTURA E PROJEÇÃO DE 1,5 M³/H DE ARGAMASSA. AF_08/2019</t>
  </si>
  <si>
    <t>0,04930000</t>
  </si>
  <si>
    <t>R$ 1.872,41</t>
  </si>
  <si>
    <t>0,54500000</t>
  </si>
  <si>
    <t>1779,96000000</t>
  </si>
  <si>
    <t>ALVENARIA</t>
  </si>
  <si>
    <t>SERVENTE DE OBRAS (HORISTA)</t>
  </si>
  <si>
    <t>R$ 12,14</t>
  </si>
  <si>
    <t>FERRAMENTAS - FAMILIA SERVENTE - HORISTA (ENCARGOS COMPLEMENTARES - COLETADO CAIXA)</t>
  </si>
  <si>
    <t>R$ 0,61</t>
  </si>
  <si>
    <t>EPI - FAMILIA SERVENTE - HORISTA (ENCARGOS COMPLEMENTARES - COLETADO CAIXA)</t>
  </si>
  <si>
    <t>R$ 1,33</t>
  </si>
  <si>
    <t>CURSO DE CAPACITAÇÃO PARA SERVENTE (ENCARGOS COMPLEMENTARES) - HORISTA</t>
  </si>
  <si>
    <t>2.1.1</t>
  </si>
  <si>
    <t>2.1.2</t>
  </si>
  <si>
    <t>2.1.3</t>
  </si>
  <si>
    <t>2.1.4</t>
  </si>
  <si>
    <t>2.1.5</t>
  </si>
  <si>
    <t>BDI 24,37%</t>
  </si>
  <si>
    <t>SERVIÇOS PRELIMINARES</t>
  </si>
  <si>
    <t>GALPAO 1</t>
  </si>
  <si>
    <t>VALOR GLOBAL</t>
  </si>
  <si>
    <t>2.1.6</t>
  </si>
  <si>
    <t>3.1.2</t>
  </si>
  <si>
    <t>ASSENTAMENTO DE TUBO DE FERRO FUNDIDO PARA REDE DE ÁGUA, DN 80 MM, JUNTA ELÁSTICA, INSTALADO EM LOCAL COM NÍVEL ALTO DE INTERFERÊNCIAS (NÃO INCLUI FORNECIMENTO). AF_05/2024</t>
  </si>
  <si>
    <t>M</t>
  </si>
  <si>
    <t>RETROESCAVADEIRA SOBRE RODAS COM CARREGADEIRA, TRAÇÃO 4X4, POTÊNCIA LÍQ. 88 HP, CAÇAMBA CARREG. CAP. MÍN. 1 M3, CAÇAMBA RETRO CAP. 0,26 M3, PESO OPERACIONAL MÍN. 6.674 KG, PROFUNDIDADE ESCAVAÇÃO MÁX. 4,37 M - CHP DIURNO. AF_06/2014</t>
  </si>
  <si>
    <t>0,00630000</t>
  </si>
  <si>
    <t>R$ 148,74</t>
  </si>
  <si>
    <t>RETROESCAVADEIRA SOBRE RODAS COM CARREGADEIRA, TRAÇÃO 4X4, POTÊNCIA LÍQ. 88 HP, CAÇAMBA CARREG. CAP. MÍN. 1 M3, CAÇAMBA RETRO CAP. 0,26 M3, PESO OPERACIONAL MÍN. 6.674 KG, PROFUNDIDADE ESCAVAÇÃO MÁX. 4,37 M - CHI DIURNO. AF_06/2014</t>
  </si>
  <si>
    <t>0,03040000</t>
  </si>
  <si>
    <t>R$ 64,19</t>
  </si>
  <si>
    <t>PASTA LUBRIFICANTE PARA TUBOS E CONEXOES COM JUNTA ELASTICA, EMBALAGEM DE *400* GR (USO EM PVC, ACO, POLIETILENO E OUTROS)</t>
  </si>
  <si>
    <t>0,00460000</t>
  </si>
  <si>
    <t>R$ 23,81</t>
  </si>
  <si>
    <t>ASSENTADOR DE TUBOS COM ENCARGOS COMPLEMENTARES</t>
  </si>
  <si>
    <t>0,04800000</t>
  </si>
  <si>
    <t>R$ 20,50</t>
  </si>
  <si>
    <t>0,03200000</t>
  </si>
  <si>
    <t>4</t>
  </si>
  <si>
    <t>4.1</t>
  </si>
  <si>
    <t>4.1.1</t>
  </si>
  <si>
    <t>4.1.2</t>
  </si>
  <si>
    <t>PINTOR DE LETREIROS COM ENCARGOS COMPLEMENTARES</t>
  </si>
  <si>
    <t>PINTOR DE LETREIROS (HORISTA)</t>
  </si>
  <si>
    <t>R$ 17,05</t>
  </si>
  <si>
    <t>CURSO DE CAPACITAÇÃO PARA PINTOR DE LETREIROS (ENCARGOS COMPLEMENTARES) - HORISTA</t>
  </si>
  <si>
    <t>R$ 0,28</t>
  </si>
  <si>
    <t>4.1.3</t>
  </si>
  <si>
    <t>4.1.4</t>
  </si>
  <si>
    <t>1.1.3</t>
  </si>
  <si>
    <t>1.1.4</t>
  </si>
  <si>
    <t>1.1.5</t>
  </si>
  <si>
    <t>CARPINTEIRO DE FORMAS COM ENCARGOS COMPLEMENTARES</t>
  </si>
  <si>
    <t>CARPINTEIRO DE FORMAS PARA CONCRETO (HORISTA)</t>
  </si>
  <si>
    <t>FERRAMENTAS - FAMILIA CARPINTEIRO DE FORMAS - HORISTA (ENCARGOS COMPLEMENTARES - COLETADO CAIXA)</t>
  </si>
  <si>
    <t>R$ 0,49</t>
  </si>
  <si>
    <t>EPI - FAMILIA CARPINTEIRO DE FORMAS - HORISTA (ENCARGOS COMPLEMENTARES - COLETADO CAIXA)</t>
  </si>
  <si>
    <t>R$ 1,43</t>
  </si>
  <si>
    <t>CURSO DE CAPACITAÇÃO PARA CARPINTEIRO DE FÔRMAS (ENCARGOS COMPLEMENTARES) - HORISTA</t>
  </si>
  <si>
    <t>R$ 0,21</t>
  </si>
  <si>
    <t>MISTURADOR DE ARGAMASSA, EIXO HORIZONTAL, CAPACIDADE DE MISTURA 160 KG, MOTOR ELÉTRICO POTÊNCIA 3 CV - CHI DIURNO. AF_05/2023</t>
  </si>
  <si>
    <t>ASSENTAMENTO DE TUBO DE FERRO FUNDIDO PARA REDE DE ÁGUA, DN 100 MM, JUNTA ELÁSTICA, INSTALADO EM LOCAL COM NÍVEL ALTO DE INTERFERÊNCIAS (NÃO INCLUI FORNECIMENTO). AF_05/2024</t>
  </si>
  <si>
    <t>ASSENTAMENTO DE TUBO DE FERRO FUNDIDO PARA REDE DE ÁGUA, DN 150 MM, JUNTA ELÁSTICA, INSTALADO EM LOCAL COM NÍVEL ALTO DE INTERFERÊNCIAS (NÃO INCLUI FORNECIMENTO). AF_05/2024</t>
  </si>
  <si>
    <t>CAIXA ENTERRADA HIDRÁULICA RETANGULAR, EM ALVENARIA COM BLOCOS DE CONCRETO, DIMENSÕES INTERNAS: 0,6X0,6X0,6 M PARA REDE DE DRENAGEM. AF_12/2020</t>
  </si>
  <si>
    <t>ACRÉSCIMO PARA POÇO DE VISITA RETANGULAR PARA DRENAGEM, EM ALVENARIA COM BLOCOS DE CONCRETO, DIMENSÕES INTERNAS = 1X1,5 M. AF_12/2020</t>
  </si>
  <si>
    <t>ACRÉSCIMO PARA POÇO DE VISITA RETANGULAR PARA DRENAGEM, EM ALVENARIA COM BLOCOS DE CONCRETO, DIMENSÕES INTERNAS = 2,5X2,5 M. AF_12/2020</t>
  </si>
  <si>
    <t>MISTURADOR DE ARGAMASSA, EIXO HORIZONTAL, CAPACIDADE DE MISTURA 160 KG, MOTOR ELÉTRICO POTÊNCIA 3 CV - DEPRECIAÇÃO. AF_05/2023</t>
  </si>
  <si>
    <t>R$ 0,76</t>
  </si>
  <si>
    <t>MISTURADOR DE ARGAMASSA, EIXO HORIZONTAL, CAPACIDADE DE MISTURA 160 KG, MOTOR ELÉTRICO POTÊNCIA 3 CV - JUROS. AF_05/2023</t>
  </si>
  <si>
    <t>R$ 0,17</t>
  </si>
  <si>
    <t>0,00690000</t>
  </si>
  <si>
    <t>0,03290000</t>
  </si>
  <si>
    <t>0,00540000</t>
  </si>
  <si>
    <t>0,06060000</t>
  </si>
  <si>
    <t>0,04040000</t>
  </si>
  <si>
    <t>0,00820000</t>
  </si>
  <si>
    <t>0,03910000</t>
  </si>
  <si>
    <t>0,00710000</t>
  </si>
  <si>
    <t>0,09200000</t>
  </si>
  <si>
    <t>0,06140000</t>
  </si>
  <si>
    <t>BLOCO DE VEDACAO DE CONCRETO, 9 X 19 X 39 CM (CLASSE C - NBR 6136)</t>
  </si>
  <si>
    <t>20,76150000</t>
  </si>
  <si>
    <t>R$ 3,51</t>
  </si>
  <si>
    <t>DESMOLDANTE PROTETOR PARA FORMAS DE MADEIRA, DE BASE OLEOSA EMULSIONADA EM AGUA</t>
  </si>
  <si>
    <t>L</t>
  </si>
  <si>
    <t>R$ 6,65</t>
  </si>
  <si>
    <t>PONTALETE *7,5 X 7,5* CM EM PINUS, MISTA OU EQUIVALENTE DA REGIAO - BRUTA</t>
  </si>
  <si>
    <t>0,11840000</t>
  </si>
  <si>
    <t>R$ 13,03</t>
  </si>
  <si>
    <t>SARRAFO *2,5 X 7,5* CM EM PINUS, MISTA OU EQUIVALENTE DA REGIAO - BRUTA</t>
  </si>
  <si>
    <t>0,14080000</t>
  </si>
  <si>
    <t>R$ 4,56</t>
  </si>
  <si>
    <t>PREGO DE ACO POLIDO COM CABECA 17 X 27 (2 1/2 X 11)</t>
  </si>
  <si>
    <t>0,01250000</t>
  </si>
  <si>
    <t>R$ 22,71</t>
  </si>
  <si>
    <t>0,00870000</t>
  </si>
  <si>
    <t>0,01780000</t>
  </si>
  <si>
    <t>TABUA NAO APARELHADA *2,5 X 20* CM, EM MACARANDUBA/MASSARANDUBA, ANGELIM OU EQUIVALENTE DA REGIAO - BRUTA</t>
  </si>
  <si>
    <t>0,44160000</t>
  </si>
  <si>
    <t>R$ 21,90</t>
  </si>
  <si>
    <t>ARGAMASSA TRAÇO 1:4 (EM VOLUME DE CIMENTO E AREIA GROSSA ÚMIDA) PARA CHAPISCO CONVENCIONAL, PREPARO MECÂNICO COM BETONEIRA 400 L. AF_08/2019</t>
  </si>
  <si>
    <t>0,01480000</t>
  </si>
  <si>
    <t>R$ 449,42</t>
  </si>
  <si>
    <t>3,56840000</t>
  </si>
  <si>
    <t>2,80380000</t>
  </si>
  <si>
    <t>ARGAMASSA TRAÇO 1:3 (EM VOLUME DE CIMENTO E AREIA MÉDIA ÚMIDA), PREPARO MECÂNICO COM BETONEIRA 400 L. AF_08/2019</t>
  </si>
  <si>
    <t>0,07280000</t>
  </si>
  <si>
    <t>R$ 522,67</t>
  </si>
  <si>
    <t>CONCRETO FCK = 20MPA, TRAÇO 1:2,7:3 (EM MASSA SECA DE CIMENTO/ AREIA MÉDIA/ BRITA 1) - PREPARO MECÂNICO COM BETONEIRA 600 L. AF_05/2021</t>
  </si>
  <si>
    <t>0,07440000</t>
  </si>
  <si>
    <t>R$ 461,99</t>
  </si>
  <si>
    <t>PEÇA RETANGULAR PRÉ-MOLDADA, VOLUME DE CONCRETO DE 30 A 100 LITROS, TAXA DE AÇO APROXIMADA DE 30KG/M³. AF_03/2024</t>
  </si>
  <si>
    <t>0,04480000</t>
  </si>
  <si>
    <t>R$ 2.239,71</t>
  </si>
  <si>
    <t>PREPARO DE FUNDO DE VALA COM LARGURA MENOR QUE 1,5 M (ACERTO DO SOLO NATURAL). AF_08/2020</t>
  </si>
  <si>
    <t>0,81000000</t>
  </si>
  <si>
    <t>R$ 5,41</t>
  </si>
  <si>
    <t>CANALETA DE CONCRETO 19 X 19 X 19 CM (CLASSE C - NBR 6136)</t>
  </si>
  <si>
    <t>15,22500000</t>
  </si>
  <si>
    <t>R$ 3,89</t>
  </si>
  <si>
    <t>BLOCO DE CONCRETO ESTRUTURAL 19 X 19 X 39 CM, FBK 4,5 MPA (NBR 6136)</t>
  </si>
  <si>
    <t>68,51250000</t>
  </si>
  <si>
    <t>R$ 6,26</t>
  </si>
  <si>
    <t>0,04870000</t>
  </si>
  <si>
    <t>15,93360000</t>
  </si>
  <si>
    <t>12,51930000</t>
  </si>
  <si>
    <t>0,40630000</t>
  </si>
  <si>
    <t>GRAUTEAMENTO VERTICAL EM ALVENARIA ESTRUTURAL. AF_09/2021</t>
  </si>
  <si>
    <t>0,05980000</t>
  </si>
  <si>
    <t>R$ 958,88</t>
  </si>
  <si>
    <t>GRAUTEAMENTO DE CINTA SUPERIOR OU DE VERGA EM ALVENARIA ESTRUTURAL. AF_09/2021</t>
  </si>
  <si>
    <t>0,04460000</t>
  </si>
  <si>
    <t>R$ 927,54</t>
  </si>
  <si>
    <t>ARMAÇÃO VERTICAL DE ALVENARIA ESTRUTURAL; DIÂMETRO DE 10,0 MM. AF_09/2021</t>
  </si>
  <si>
    <t>1,97440000</t>
  </si>
  <si>
    <t>R$ 11,96</t>
  </si>
  <si>
    <t>ARMAÇÃO DE CINTA DE ALVENARIA ESTRUTURAL; DIÂMETRO DE 10,0 MM. AF_09/2021</t>
  </si>
  <si>
    <t>1,78930000</t>
  </si>
  <si>
    <t>R$ 11,48</t>
  </si>
  <si>
    <t>28,35000000</t>
  </si>
  <si>
    <t>127,57500000</t>
  </si>
  <si>
    <t>0,09070000</t>
  </si>
  <si>
    <t>29,90600000</t>
  </si>
  <si>
    <t>23,49760000</t>
  </si>
  <si>
    <t>0,78210000</t>
  </si>
  <si>
    <t>0,08310000</t>
  </si>
  <si>
    <t>3,33180000</t>
  </si>
  <si>
    <t>MOVIMENTO DE TERRA</t>
  </si>
  <si>
    <t>PINTURA</t>
  </si>
  <si>
    <t>PINTOR COM ENCARGOS COMPLEMENTARES</t>
  </si>
  <si>
    <t>PINTOR (HORISTA)</t>
  </si>
  <si>
    <t>CURSO DE CAPACITAÇÃO PARA PINTOR (ENCARGOS COMPLEMENTARES) - HORISTA</t>
  </si>
  <si>
    <t>ASSENTAMENTO DE TUBO DE FERRO FUNDIDO PARA REDE DE ÁGUA, DN 1000 MM, JUNTA ELÁSTICA, INSTALADO EM LOCAL COM NÍVEL BAIXO DE INTERFERÊNCIAS (NÃO INCLUI FORNECIMENTO). AF_05/2024</t>
  </si>
  <si>
    <t>ASSENTAMENTO DE TUBO DE FERRO FUNDIDO PARA REDE DE ÁGUA, DN 300 MM, JUNTA ELÁSTICA, INSTALADO EM LOCAL COM NÍVEL BAIXO DE INTERFERÊNCIAS (NÃO INCLUI FORNECIMENTO). AF_05/2024</t>
  </si>
  <si>
    <t>TÉCNICO DE LABORATÓRIO COM ENCARGOS COMPLEMENTARES</t>
  </si>
  <si>
    <t>ESCAVADEIRA HIDRÁULICA SOBRE ESTEIRAS, CAÇAMBA 0,80 M3, PESO OPERACIONAL 17 T, POTENCIA BRUTA 111 HP - CHP DIURNO. AF_06/2014</t>
  </si>
  <si>
    <t>0,03030000</t>
  </si>
  <si>
    <t>R$ 214,89</t>
  </si>
  <si>
    <t>ESCAVADEIRA HIDRÁULICA SOBRE ESTEIRAS, CAÇAMBA 0,80 M3, PESO OPERACIONAL 17 T, POTENCIA BRUTA 111 HP - CHI DIURNO. AF_06/2014</t>
  </si>
  <si>
    <t>0,07320000</t>
  </si>
  <si>
    <t>R$ 90,50</t>
  </si>
  <si>
    <t>0,04030000</t>
  </si>
  <si>
    <t>0,56640000</t>
  </si>
  <si>
    <t>0,37760000</t>
  </si>
  <si>
    <t>0,01210000</t>
  </si>
  <si>
    <t>0,02920000</t>
  </si>
  <si>
    <t>0,01380000</t>
  </si>
  <si>
    <t>0,16840000</t>
  </si>
  <si>
    <t>0,11230000</t>
  </si>
  <si>
    <t>TECNICO EM LABORATORIO E CAMPO DE CONSTRUCAO CIVIL (HORISTA)</t>
  </si>
  <si>
    <t>R$ 34,66</t>
  </si>
  <si>
    <t>FERRAMENTAS - FAMILIA ALMOXARIFE - HORISTA (ENCARGOS COMPLEMENTARES - COLETADO CAIXA)</t>
  </si>
  <si>
    <t>R$ 0,06</t>
  </si>
  <si>
    <t>EPI - FAMILIA ALMOXARIFE - HORISTA (ENCARGOS COMPLEMENTARES - COLETADO CAIXA)</t>
  </si>
  <si>
    <t>R$ 0,79</t>
  </si>
  <si>
    <t>CURSO DE CAPACITAÇÃO PARA TÉCNICO DE LABORATÓRIO (ENCARGOS COMPLEMENTARES) - HORISTA</t>
  </si>
  <si>
    <t>R$ 0,33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</si>
</sst>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$&quot;\ #,##0.00"/>
    <numFmt numFmtId="165" formatCode="#,##0.00000000"/>
  </numFmts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0"/>
      <color rgb="FFFFFFFF"/>
      <name val="Segoe UI"/>
      <family val="2"/>
    </font>
    <font>
      <b/>
      <sz val="9"/>
      <color rgb="FF000000"/>
      <name val="Segoe UI"/>
      <family val="2"/>
    </font>
    <font>
      <sz val="9"/>
      <name val="Segoe UI"/>
      <family val="2"/>
    </font>
    <font>
      <sz val="9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b/>
      <sz val="9"/>
      <color rgb="FF000000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0"/>
      <color rgb="FF000000"/>
      <name val="Aptos Narrow"/>
      <family val="2"/>
      <scheme val="minor"/>
    </font>
    <font>
      <b/>
      <sz val="9"/>
      <name val="Aptos Narrow"/>
      <family val="2"/>
      <scheme val="minor"/>
    </font>
    <font>
      <b/>
      <sz val="1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2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20202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40404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/>
  </cellStyleXfs>
  <cellXfs count="82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 applyAlignment="1">
      <alignment horizontal="right"/>
    </xf>
    <xf numFmtId="14" fontId="2" fillId="0" borderId="0" xfId="0" applyNumberFormat="1" applyFont="1"/>
    <xf numFmtId="2" fontId="2" fillId="0" borderId="0" xfId="1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0" fontId="4" fillId="2" borderId="0" xfId="0" applyFont="1" applyFill="1"/>
    <xf numFmtId="49" fontId="4" fillId="2" borderId="0" xfId="0" applyNumberFormat="1" applyFont="1" applyFill="1" applyAlignment="1">
      <alignment horizontal="left"/>
    </xf>
    <xf numFmtId="0" fontId="4" fillId="2" borderId="0" xfId="0" applyFont="1" applyFill="1" applyAlignment="1">
      <alignment horizontal="center"/>
    </xf>
    <xf numFmtId="2" fontId="4" fillId="2" borderId="0" xfId="0" applyNumberFormat="1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0" fontId="8" fillId="2" borderId="0" xfId="0" applyFont="1" applyFill="1"/>
    <xf numFmtId="0" fontId="5" fillId="3" borderId="0" xfId="0" applyFont="1" applyFill="1"/>
    <xf numFmtId="49" fontId="5" fillId="3" borderId="0" xfId="0" applyNumberFormat="1" applyFont="1" applyFill="1" applyAlignment="1">
      <alignment horizontal="left"/>
    </xf>
    <xf numFmtId="0" fontId="5" fillId="3" borderId="0" xfId="0" applyFont="1" applyFill="1" applyAlignment="1">
      <alignment horizontal="center"/>
    </xf>
    <xf numFmtId="2" fontId="5" fillId="3" borderId="0" xfId="0" applyNumberFormat="1" applyFont="1" applyFill="1" applyAlignment="1">
      <alignment horizontal="center"/>
    </xf>
    <xf numFmtId="164" fontId="5" fillId="3" borderId="0" xfId="0" applyNumberFormat="1" applyFont="1" applyFill="1" applyAlignment="1">
      <alignment horizontal="center"/>
    </xf>
    <xf numFmtId="0" fontId="9" fillId="3" borderId="0" xfId="0" applyFont="1" applyFill="1"/>
    <xf numFmtId="49" fontId="8" fillId="2" borderId="0" xfId="0" applyNumberFormat="1" applyFont="1" applyFill="1" applyAlignment="1">
      <alignment horizontal="left"/>
    </xf>
    <xf numFmtId="0" fontId="8" fillId="2" borderId="0" xfId="0" applyFont="1" applyFill="1" applyAlignment="1">
      <alignment horizontal="center"/>
    </xf>
    <xf numFmtId="2" fontId="8" fillId="2" borderId="0" xfId="0" applyNumberFormat="1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49" fontId="9" fillId="3" borderId="0" xfId="0" applyNumberFormat="1" applyFont="1" applyFill="1" applyAlignment="1">
      <alignment horizontal="left"/>
    </xf>
    <xf numFmtId="0" fontId="9" fillId="3" borderId="0" xfId="0" applyFont="1" applyFill="1" applyAlignment="1">
      <alignment horizontal="center"/>
    </xf>
    <xf numFmtId="2" fontId="9" fillId="3" borderId="0" xfId="0" applyNumberFormat="1" applyFont="1" applyFill="1" applyAlignment="1">
      <alignment horizontal="center"/>
    </xf>
    <xf numFmtId="164" fontId="9" fillId="3" borderId="0" xfId="0" applyNumberFormat="1" applyFont="1" applyFill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/>
    <xf numFmtId="0" fontId="10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2" fontId="11" fillId="0" borderId="0" xfId="1" applyNumberFormat="1" applyFont="1" applyAlignment="1">
      <alignment horizontal="center"/>
    </xf>
    <xf numFmtId="0" fontId="11" fillId="0" borderId="1" xfId="0" applyFont="1" applyBorder="1" applyAlignment="1">
      <alignment horizontal="left"/>
    </xf>
    <xf numFmtId="0" fontId="11" fillId="0" borderId="1" xfId="0" applyFont="1" applyBorder="1" applyAlignment="1">
      <alignment horizontal="center"/>
    </xf>
    <xf numFmtId="0" fontId="11" fillId="0" borderId="2" xfId="0" applyFont="1" applyBorder="1"/>
    <xf numFmtId="2" fontId="10" fillId="0" borderId="0" xfId="0" applyNumberFormat="1" applyFont="1" applyAlignment="1">
      <alignment horizontal="center"/>
    </xf>
    <xf numFmtId="2" fontId="11" fillId="0" borderId="0" xfId="0" applyNumberFormat="1" applyFont="1" applyAlignment="1">
      <alignment horizontal="center"/>
    </xf>
    <xf numFmtId="2" fontId="11" fillId="0" borderId="1" xfId="0" applyNumberFormat="1" applyFont="1" applyBorder="1" applyAlignment="1">
      <alignment horizontal="center"/>
    </xf>
    <xf numFmtId="2" fontId="11" fillId="0" borderId="2" xfId="0" applyNumberFormat="1" applyFont="1" applyBorder="1" applyAlignment="1">
      <alignment horizontal="center"/>
    </xf>
    <xf numFmtId="0" fontId="7" fillId="0" borderId="0" xfId="0" applyFont="1"/>
    <xf numFmtId="164" fontId="7" fillId="0" borderId="0" xfId="0" applyNumberFormat="1" applyFont="1"/>
    <xf numFmtId="165" fontId="10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165" fontId="11" fillId="0" borderId="1" xfId="0" applyNumberFormat="1" applyFont="1" applyBorder="1" applyAlignment="1">
      <alignment horizontal="left"/>
    </xf>
    <xf numFmtId="165" fontId="11" fillId="0" borderId="2" xfId="0" applyNumberFormat="1" applyFont="1" applyBorder="1" applyAlignment="1">
      <alignment horizontal="left"/>
    </xf>
    <xf numFmtId="14" fontId="11" fillId="0" borderId="0" xfId="0" applyNumberFormat="1" applyFont="1" applyAlignment="1">
      <alignment horizontal="left"/>
    </xf>
    <xf numFmtId="0" fontId="11" fillId="0" borderId="2" xfId="0" applyFont="1" applyBorder="1" applyAlignment="1">
      <alignment horizontal="left"/>
    </xf>
    <xf numFmtId="0" fontId="8" fillId="0" borderId="0" xfId="0" applyFont="1"/>
    <xf numFmtId="0" fontId="9" fillId="0" borderId="0" xfId="0" applyFont="1"/>
    <xf numFmtId="164" fontId="13" fillId="0" borderId="0" xfId="0" applyNumberFormat="1" applyFont="1"/>
    <xf numFmtId="164" fontId="15" fillId="0" borderId="0" xfId="0" applyNumberFormat="1" applyFont="1"/>
    <xf numFmtId="164" fontId="16" fillId="0" borderId="0" xfId="0" applyNumberFormat="1" applyFont="1"/>
    <xf numFmtId="164" fontId="14" fillId="0" borderId="0" xfId="0" applyNumberFormat="1" applyFont="1"/>
    <xf numFmtId="164" fontId="17" fillId="0" borderId="0" xfId="0" applyNumberFormat="1" applyFont="1" applyAlignment="1">
      <alignment horizontal="center"/>
    </xf>
    <xf numFmtId="0" fontId="18" fillId="0" borderId="0" xfId="0" applyFont="1"/>
    <xf numFmtId="0" fontId="19" fillId="0" borderId="0" xfId="0" applyFont="1"/>
    <xf numFmtId="0" fontId="6" fillId="0" borderId="0" xfId="0" applyFont="1" applyFill="1"/>
    <xf numFmtId="49" fontId="6" fillId="0" borderId="0" xfId="0" applyNumberFormat="1" applyFont="1" applyFill="1" applyAlignment="1">
      <alignment horizontal="left"/>
    </xf>
    <xf numFmtId="0" fontId="6" fillId="0" borderId="0" xfId="0" applyFont="1" applyFill="1" applyAlignment="1">
      <alignment horizontal="center"/>
    </xf>
    <xf numFmtId="2" fontId="6" fillId="0" borderId="0" xfId="0" applyNumberFormat="1" applyFont="1" applyFill="1" applyAlignment="1">
      <alignment horizontal="center"/>
    </xf>
    <xf numFmtId="164" fontId="6" fillId="0" borderId="0" xfId="0" applyNumberFormat="1" applyFont="1" applyFill="1" applyAlignment="1">
      <alignment horizontal="center"/>
    </xf>
    <xf numFmtId="49" fontId="7" fillId="0" borderId="0" xfId="0" applyNumberFormat="1" applyFont="1" applyFill="1" applyAlignment="1">
      <alignment horizontal="left"/>
    </xf>
    <xf numFmtId="0" fontId="7" fillId="0" borderId="0" xfId="0" applyFont="1" applyFill="1"/>
    <xf numFmtId="0" fontId="7" fillId="0" borderId="0" xfId="0" applyFont="1" applyFill="1" applyAlignment="1">
      <alignment horizontal="center"/>
    </xf>
    <xf numFmtId="2" fontId="7" fillId="0" borderId="0" xfId="0" applyNumberFormat="1" applyFont="1" applyFill="1" applyAlignment="1">
      <alignment horizontal="center"/>
    </xf>
    <xf numFmtId="164" fontId="7" fillId="0" borderId="0" xfId="0" applyNumberFormat="1" applyFont="1" applyFill="1" applyAlignment="1">
      <alignment horizontal="center"/>
    </xf>
    <xf numFmtId="0" fontId="0" fillId="0" borderId="0" xfId="0" applyFill="1" applyBorder="1"/>
    <xf numFmtId="0" fontId="8" fillId="4" borderId="0" xfId="0" applyFont="1" applyFill="1" applyBorder="1"/>
    <xf numFmtId="0" fontId="12" fillId="3" borderId="0" xfId="0" applyFont="1" applyFill="1" applyBorder="1"/>
    <xf numFmtId="49" fontId="0" fillId="0" borderId="0" xfId="0" applyNumberFormat="1" applyFill="1" applyBorder="1"/>
    <xf numFmtId="2" fontId="0" fillId="0" borderId="0" xfId="0" applyNumberFormat="1" applyFill="1" applyBorder="1"/>
    <xf numFmtId="0" fontId="0" fillId="0" borderId="1" xfId="0" applyFill="1" applyBorder="1"/>
    <xf numFmtId="2" fontId="0" fillId="0" borderId="1" xfId="0" applyNumberFormat="1" applyFill="1" applyBorder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495300</xdr:colOff>
          <xdr:row>0</xdr:row>
          <xdr:rowOff>314325</xdr:rowOff>
        </xdr:from>
        <xdr:to>
          <xdr:col>14</xdr:col>
          <xdr:colOff>180975</xdr:colOff>
          <xdr:row>0</xdr:row>
          <xdr:rowOff>752475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Rel. Analitico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504825</xdr:colOff>
          <xdr:row>1</xdr:row>
          <xdr:rowOff>85725</xdr:rowOff>
        </xdr:from>
        <xdr:to>
          <xdr:col>14</xdr:col>
          <xdr:colOff>180975</xdr:colOff>
          <xdr:row>3</xdr:row>
          <xdr:rowOff>9525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4</xdr:row>
          <xdr:rowOff>0</xdr:rowOff>
        </xdr:from>
        <xdr:to>
          <xdr:col>14</xdr:col>
          <xdr:colOff>304800</xdr:colOff>
          <xdr:row>5</xdr:row>
          <xdr:rowOff>38100</xdr:rowOff>
        </xdr:to>
        <xdr:sp macro="" textlink="">
          <xdr:nvSpPr>
            <xdr:cNvPr id="24577" name="btnAjustarValorLicitacao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B9505C62-0082-8E02-F972-F2BDD1DE61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Ajustar Valor Licitação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Q200"/>
  <sheetViews>
    <sheetView showGridLines="0" workbookViewId="0">
      <selection activeCell="H11" sqref="H11"/>
    </sheetView>
  </sheetViews>
  <sheetFormatPr defaultRowHeight="15" x14ac:dyDescent="0.25"/>
  <cols>
    <col min="1" max="1" width="18.85546875" style="63" customWidth="1"/>
    <col min="2" max="2" width="9.140625" style="7" customWidth="1"/>
    <col min="3" max="3" width="10.42578125" bestFit="1" customWidth="1"/>
    <col min="4" max="4" width="6.85546875" bestFit="1" customWidth="1"/>
    <col min="5" max="5" width="52.140625" customWidth="1"/>
    <col min="6" max="6" width="5" style="6" bestFit="1" customWidth="1"/>
    <col min="7" max="7" width="6.5703125" style="6" bestFit="1" customWidth="1"/>
    <col min="8" max="8" width="14.5703125" style="6" customWidth="1"/>
    <col min="9" max="9" width="14.28515625" style="6" customWidth="1"/>
    <col min="10" max="10" width="14.28515625" style="6" bestFit="1" customWidth="1"/>
    <col min="11" max="11" width="11.140625" style="59" bestFit="1" customWidth="1"/>
  </cols>
  <sheetData>
    <row r="1" spans="1:17" ht="63" customHeight="1" x14ac:dyDescent="0.25"/>
    <row r="2" spans="1:17" x14ac:dyDescent="0.25">
      <c r="B2" s="3" t="s">
        <v>0</v>
      </c>
      <c r="C2" s="1" t="s">
        <v>1</v>
      </c>
      <c r="D2" s="1"/>
      <c r="E2" s="1"/>
      <c r="F2" s="2"/>
      <c r="G2" s="2"/>
      <c r="H2" s="2"/>
      <c r="I2" s="8" t="s">
        <v>17</v>
      </c>
      <c r="J2" s="10">
        <v>24.37</v>
      </c>
    </row>
    <row r="3" spans="1:17" x14ac:dyDescent="0.25">
      <c r="B3" s="3" t="s">
        <v>2</v>
      </c>
      <c r="C3" s="1" t="s">
        <v>3</v>
      </c>
      <c r="D3" s="1"/>
      <c r="E3" s="1"/>
      <c r="F3" s="2"/>
      <c r="G3" s="2"/>
      <c r="H3" s="2"/>
      <c r="I3" s="2"/>
      <c r="J3" s="2"/>
    </row>
    <row r="4" spans="1:17" x14ac:dyDescent="0.25">
      <c r="B4" s="3" t="s">
        <v>4</v>
      </c>
      <c r="C4" s="9">
        <v>45765</v>
      </c>
      <c r="D4" s="1"/>
      <c r="E4" s="1"/>
      <c r="F4" s="2"/>
      <c r="G4" s="2"/>
      <c r="H4" s="2"/>
      <c r="I4" s="8" t="s">
        <v>5</v>
      </c>
      <c r="J4" s="2" t="s">
        <v>6</v>
      </c>
    </row>
    <row r="5" spans="1:17" ht="15.75" x14ac:dyDescent="0.25">
      <c r="I5" s="2" t="s">
        <v>108</v>
      </c>
      <c r="J5" s="62">
        <v>310878.89</v>
      </c>
    </row>
    <row r="7" spans="1:17" s="1" customFormat="1" x14ac:dyDescent="0.25">
      <c r="A7" s="64"/>
      <c r="B7" s="5" t="s">
        <v>7</v>
      </c>
      <c r="C7" s="4" t="s">
        <v>8</v>
      </c>
      <c r="D7" s="4" t="s">
        <v>9</v>
      </c>
      <c r="E7" s="5" t="s">
        <v>10</v>
      </c>
      <c r="F7" s="4" t="s">
        <v>11</v>
      </c>
      <c r="G7" s="4" t="s">
        <v>12</v>
      </c>
      <c r="H7" s="4" t="s">
        <v>13</v>
      </c>
      <c r="I7" s="4" t="s">
        <v>14</v>
      </c>
      <c r="J7" s="4" t="s">
        <v>15</v>
      </c>
      <c r="K7" s="60"/>
    </row>
    <row r="8" spans="1:17" s="56" customFormat="1" ht="14.25" x14ac:dyDescent="0.25">
      <c r="A8" s="14" t="s">
        <v>16</v>
      </c>
      <c r="B8" s="15" t="s">
        <v>20</v>
      </c>
      <c r="C8" s="14"/>
      <c r="D8" s="14"/>
      <c r="E8" s="14" t="s">
        <v>106</v>
      </c>
      <c r="F8" s="16"/>
      <c r="G8" s="17"/>
      <c r="H8" s="16"/>
      <c r="I8" s="18"/>
      <c r="J8" s="18">
        <v>70958.59</v>
      </c>
      <c r="K8" s="61"/>
    </row>
    <row r="9" spans="1:17" s="57" customFormat="1" ht="12" x14ac:dyDescent="0.2">
      <c r="A9" s="20" t="s">
        <v>23</v>
      </c>
      <c r="B9" s="21" t="s">
        <v>21</v>
      </c>
      <c r="C9" s="20"/>
      <c r="D9" s="20" t="s">
        <v>19</v>
      </c>
      <c r="E9" s="20" t="s">
        <v>107</v>
      </c>
      <c r="F9" s="22"/>
      <c r="G9" s="23"/>
      <c r="H9" s="22"/>
      <c r="I9" s="24"/>
      <c r="J9" s="24">
        <v>70958.59</v>
      </c>
      <c r="K9" s="58"/>
    </row>
    <row r="10" spans="1:17" s="48" customFormat="1" ht="12" x14ac:dyDescent="0.2">
      <c r="A10" s="65" t="s">
        <v>18</v>
      </c>
      <c r="B10" s="66" t="s">
        <v>22</v>
      </c>
      <c r="C10" s="65">
        <v>88309</v>
      </c>
      <c r="D10" s="65" t="s">
        <v>19</v>
      </c>
      <c r="E10" s="65" t="s">
        <v>25</v>
      </c>
      <c r="F10" s="67" t="s">
        <v>26</v>
      </c>
      <c r="G10" s="68">
        <v>14.32</v>
      </c>
      <c r="H10" s="69">
        <v>688.43</v>
      </c>
      <c r="I10" s="69">
        <v>853.65</v>
      </c>
      <c r="J10" s="69">
        <v>12224.26</v>
      </c>
      <c r="K10" s="49"/>
    </row>
    <row r="11" spans="1:17" s="48" customFormat="1" ht="12" x14ac:dyDescent="0.2">
      <c r="A11" s="65" t="s">
        <v>18</v>
      </c>
      <c r="B11" s="66" t="s">
        <v>24</v>
      </c>
      <c r="C11" s="65">
        <v>88316</v>
      </c>
      <c r="D11" s="65" t="s">
        <v>19</v>
      </c>
      <c r="E11" s="65" t="s">
        <v>50</v>
      </c>
      <c r="F11" s="67" t="s">
        <v>26</v>
      </c>
      <c r="G11" s="68">
        <v>25.66</v>
      </c>
      <c r="H11" s="69">
        <v>2.1</v>
      </c>
      <c r="I11" s="69">
        <v>545.73</v>
      </c>
      <c r="J11" s="69">
        <v>14003.43</v>
      </c>
      <c r="K11" s="49"/>
    </row>
    <row r="12" spans="1:17" s="56" customFormat="1" ht="13.5" x14ac:dyDescent="0.25">
      <c r="A12" s="65" t="s">
        <v>18</v>
      </c>
      <c r="B12" s="66" t="s">
        <v>137</v>
      </c>
      <c r="C12" s="65">
        <v>88404</v>
      </c>
      <c r="D12" s="65" t="s">
        <v>19</v>
      </c>
      <c r="E12" s="65" t="s">
        <v>148</v>
      </c>
      <c r="F12" s="67" t="s">
        <v>49</v>
      </c>
      <c r="G12" s="68">
        <v>91.24</v>
      </c>
      <c r="H12" s="69">
        <v>0.93</v>
      </c>
      <c r="I12" s="69">
        <v>1.1499999999999999</v>
      </c>
      <c r="J12" s="69">
        <v>104.92</v>
      </c>
      <c r="K12" s="58"/>
      <c r="Q12" s="69"/>
    </row>
    <row r="13" spans="1:17" s="48" customFormat="1" ht="12" x14ac:dyDescent="0.2">
      <c r="A13" s="65" t="s">
        <v>18</v>
      </c>
      <c r="B13" s="66" t="s">
        <v>138</v>
      </c>
      <c r="C13" s="65">
        <v>97141</v>
      </c>
      <c r="D13" s="65" t="s">
        <v>19</v>
      </c>
      <c r="E13" s="65" t="s">
        <v>111</v>
      </c>
      <c r="F13" s="67" t="s">
        <v>112</v>
      </c>
      <c r="G13" s="68">
        <v>14.25</v>
      </c>
      <c r="H13" s="69">
        <v>4.55</v>
      </c>
      <c r="I13" s="69">
        <v>5.64</v>
      </c>
      <c r="J13" s="69">
        <v>80.36</v>
      </c>
      <c r="K13" s="49"/>
    </row>
    <row r="14" spans="1:17" s="48" customFormat="1" ht="12" x14ac:dyDescent="0.2">
      <c r="A14" s="65" t="s">
        <v>18</v>
      </c>
      <c r="B14" s="66" t="s">
        <v>139</v>
      </c>
      <c r="C14" s="65">
        <v>88262</v>
      </c>
      <c r="D14" s="65" t="s">
        <v>19</v>
      </c>
      <c r="E14" s="65" t="s">
        <v>140</v>
      </c>
      <c r="F14" s="67" t="s">
        <v>26</v>
      </c>
      <c r="G14" s="68">
        <v>1583</v>
      </c>
      <c r="H14" s="69">
        <v>22.699999999999996</v>
      </c>
      <c r="I14" s="69">
        <v>28.14</v>
      </c>
      <c r="J14" s="69">
        <v>44545.62</v>
      </c>
      <c r="K14" s="49"/>
    </row>
    <row r="15" spans="1:17" s="56" customFormat="1" ht="14.25" x14ac:dyDescent="0.25">
      <c r="A15" s="14" t="s">
        <v>16</v>
      </c>
      <c r="B15" s="15" t="s">
        <v>35</v>
      </c>
      <c r="C15" s="14"/>
      <c r="D15" s="14"/>
      <c r="E15" s="14" t="s">
        <v>235</v>
      </c>
      <c r="F15" s="16"/>
      <c r="G15" s="17"/>
      <c r="H15" s="18"/>
      <c r="I15" s="18"/>
      <c r="J15" s="18">
        <v>56270.7</v>
      </c>
      <c r="K15" s="61"/>
    </row>
    <row r="16" spans="1:17" s="48" customFormat="1" ht="12" x14ac:dyDescent="0.2">
      <c r="A16" s="20" t="s">
        <v>23</v>
      </c>
      <c r="B16" s="21" t="s">
        <v>36</v>
      </c>
      <c r="C16" s="20"/>
      <c r="D16" s="20"/>
      <c r="E16" s="20" t="s">
        <v>107</v>
      </c>
      <c r="F16" s="22"/>
      <c r="G16" s="23"/>
      <c r="H16" s="24"/>
      <c r="I16" s="24"/>
      <c r="J16" s="24">
        <v>56270.7</v>
      </c>
      <c r="K16" s="58"/>
    </row>
    <row r="17" spans="1:11" s="48" customFormat="1" ht="12" x14ac:dyDescent="0.2">
      <c r="A17" s="65" t="s">
        <v>18</v>
      </c>
      <c r="B17" s="66" t="s">
        <v>100</v>
      </c>
      <c r="C17" s="65">
        <v>88311</v>
      </c>
      <c r="D17" s="65" t="s">
        <v>19</v>
      </c>
      <c r="E17" s="65" t="s">
        <v>130</v>
      </c>
      <c r="F17" s="67" t="s">
        <v>26</v>
      </c>
      <c r="G17" s="68">
        <v>145</v>
      </c>
      <c r="H17" s="69">
        <v>25.389999999999997</v>
      </c>
      <c r="I17" s="69">
        <v>31.48</v>
      </c>
      <c r="J17" s="69">
        <v>4564.6000000000004</v>
      </c>
      <c r="K17" s="49"/>
    </row>
    <row r="18" spans="1:11" s="56" customFormat="1" ht="13.5" x14ac:dyDescent="0.25">
      <c r="A18" s="65" t="s">
        <v>18</v>
      </c>
      <c r="B18" s="70" t="s">
        <v>101</v>
      </c>
      <c r="C18" s="71">
        <v>97142</v>
      </c>
      <c r="D18" s="71" t="s">
        <v>19</v>
      </c>
      <c r="E18" s="71" t="s">
        <v>149</v>
      </c>
      <c r="F18" s="72" t="s">
        <v>112</v>
      </c>
      <c r="G18" s="73">
        <v>1247</v>
      </c>
      <c r="H18" s="74">
        <v>5.24</v>
      </c>
      <c r="I18" s="74">
        <v>6.49</v>
      </c>
      <c r="J18" s="74">
        <v>8093.03</v>
      </c>
      <c r="K18" s="61"/>
    </row>
    <row r="19" spans="1:11" s="57" customFormat="1" ht="12" x14ac:dyDescent="0.2">
      <c r="A19" s="65" t="s">
        <v>18</v>
      </c>
      <c r="B19" s="70" t="s">
        <v>102</v>
      </c>
      <c r="C19" s="71">
        <v>97143</v>
      </c>
      <c r="D19" s="71" t="s">
        <v>19</v>
      </c>
      <c r="E19" s="71" t="s">
        <v>150</v>
      </c>
      <c r="F19" s="72" t="s">
        <v>112</v>
      </c>
      <c r="G19" s="73">
        <v>245</v>
      </c>
      <c r="H19" s="74">
        <v>6.9</v>
      </c>
      <c r="I19" s="74">
        <v>8.5500000000000007</v>
      </c>
      <c r="J19" s="74">
        <v>2094.75</v>
      </c>
      <c r="K19" s="58"/>
    </row>
    <row r="20" spans="1:11" s="48" customFormat="1" ht="12" x14ac:dyDescent="0.2">
      <c r="A20" s="71" t="s">
        <v>18</v>
      </c>
      <c r="B20" s="70" t="s">
        <v>103</v>
      </c>
      <c r="C20" s="71">
        <v>87804</v>
      </c>
      <c r="D20" s="71" t="s">
        <v>19</v>
      </c>
      <c r="E20" s="71" t="s">
        <v>83</v>
      </c>
      <c r="F20" s="72" t="s">
        <v>58</v>
      </c>
      <c r="G20" s="73">
        <v>21.87</v>
      </c>
      <c r="H20" s="74">
        <v>117.69000000000001</v>
      </c>
      <c r="I20" s="74">
        <v>145.93</v>
      </c>
      <c r="J20" s="74">
        <v>3191.48</v>
      </c>
      <c r="K20" s="49"/>
    </row>
    <row r="21" spans="1:11" s="48" customFormat="1" ht="12" x14ac:dyDescent="0.2">
      <c r="A21" s="71" t="s">
        <v>18</v>
      </c>
      <c r="B21" s="70" t="s">
        <v>104</v>
      </c>
      <c r="C21" s="71">
        <v>87404</v>
      </c>
      <c r="D21" s="71" t="s">
        <v>19</v>
      </c>
      <c r="E21" s="71" t="s">
        <v>33</v>
      </c>
      <c r="F21" s="72" t="s">
        <v>34</v>
      </c>
      <c r="G21" s="73">
        <v>4.6900000000000004</v>
      </c>
      <c r="H21" s="74">
        <v>5293.94</v>
      </c>
      <c r="I21" s="74">
        <v>6564.48</v>
      </c>
      <c r="J21" s="74">
        <v>30787.41</v>
      </c>
      <c r="K21" s="49"/>
    </row>
    <row r="22" spans="1:11" s="56" customFormat="1" ht="13.5" x14ac:dyDescent="0.25">
      <c r="A22" s="71" t="s">
        <v>18</v>
      </c>
      <c r="B22" s="70" t="s">
        <v>109</v>
      </c>
      <c r="C22" s="71">
        <v>99260</v>
      </c>
      <c r="D22" s="71" t="s">
        <v>19</v>
      </c>
      <c r="E22" s="71" t="s">
        <v>151</v>
      </c>
      <c r="F22" s="72" t="s">
        <v>32</v>
      </c>
      <c r="G22" s="73">
        <v>14.98</v>
      </c>
      <c r="H22" s="74">
        <v>405.89</v>
      </c>
      <c r="I22" s="74">
        <v>503.3</v>
      </c>
      <c r="J22" s="74">
        <v>7539.43</v>
      </c>
      <c r="K22" s="61"/>
    </row>
    <row r="23" spans="1:11" s="57" customFormat="1" ht="13.5" x14ac:dyDescent="0.25">
      <c r="A23" s="19" t="s">
        <v>16</v>
      </c>
      <c r="B23" s="26" t="s">
        <v>37</v>
      </c>
      <c r="C23" s="19"/>
      <c r="D23" s="19"/>
      <c r="E23" s="19" t="s">
        <v>92</v>
      </c>
      <c r="F23" s="27"/>
      <c r="G23" s="28"/>
      <c r="H23" s="29"/>
      <c r="I23" s="29"/>
      <c r="J23" s="29">
        <v>182588.98</v>
      </c>
      <c r="K23" s="58"/>
    </row>
    <row r="24" spans="1:11" s="48" customFormat="1" ht="12" x14ac:dyDescent="0.2">
      <c r="A24" s="25" t="s">
        <v>23</v>
      </c>
      <c r="B24" s="30" t="s">
        <v>38</v>
      </c>
      <c r="C24" s="25"/>
      <c r="D24" s="25"/>
      <c r="E24" s="25" t="s">
        <v>107</v>
      </c>
      <c r="F24" s="31"/>
      <c r="G24" s="32"/>
      <c r="H24" s="33"/>
      <c r="I24" s="33"/>
      <c r="J24" s="33">
        <v>182588.98</v>
      </c>
      <c r="K24" s="49"/>
    </row>
    <row r="25" spans="1:11" s="48" customFormat="1" ht="12" x14ac:dyDescent="0.2">
      <c r="A25" s="71" t="s">
        <v>18</v>
      </c>
      <c r="B25" s="70" t="s">
        <v>82</v>
      </c>
      <c r="C25" s="71">
        <v>99261</v>
      </c>
      <c r="D25" s="71" t="s">
        <v>19</v>
      </c>
      <c r="E25" s="71" t="s">
        <v>152</v>
      </c>
      <c r="F25" s="72" t="s">
        <v>112</v>
      </c>
      <c r="G25" s="73">
        <v>41</v>
      </c>
      <c r="H25" s="74">
        <v>1466.4599999999998</v>
      </c>
      <c r="I25" s="74">
        <v>1818.41</v>
      </c>
      <c r="J25" s="74">
        <v>74554.8</v>
      </c>
      <c r="K25" s="49"/>
    </row>
    <row r="26" spans="1:11" s="48" customFormat="1" ht="12" x14ac:dyDescent="0.2">
      <c r="A26" s="71" t="s">
        <v>18</v>
      </c>
      <c r="B26" s="70" t="s">
        <v>110</v>
      </c>
      <c r="C26" s="71">
        <v>99282</v>
      </c>
      <c r="D26" s="71" t="s">
        <v>19</v>
      </c>
      <c r="E26" s="71" t="s">
        <v>153</v>
      </c>
      <c r="F26" s="72" t="s">
        <v>112</v>
      </c>
      <c r="G26" s="73">
        <v>32.47</v>
      </c>
      <c r="H26" s="74">
        <v>2683.2300000000005</v>
      </c>
      <c r="I26" s="74">
        <v>3327.2</v>
      </c>
      <c r="J26" s="74">
        <v>108034.18</v>
      </c>
      <c r="K26" s="49"/>
    </row>
    <row r="27" spans="1:11" s="56" customFormat="1" ht="13.5" x14ac:dyDescent="0.25">
      <c r="A27" s="19" t="s">
        <v>16</v>
      </c>
      <c r="B27" s="26" t="s">
        <v>126</v>
      </c>
      <c r="C27" s="19"/>
      <c r="D27" s="19"/>
      <c r="E27" s="19" t="s">
        <v>236</v>
      </c>
      <c r="F27" s="27"/>
      <c r="G27" s="28"/>
      <c r="H27" s="29"/>
      <c r="I27" s="29"/>
      <c r="J27" s="29">
        <v>1060.6199999999999</v>
      </c>
      <c r="K27" s="61"/>
    </row>
    <row r="28" spans="1:11" s="57" customFormat="1" ht="12" x14ac:dyDescent="0.2">
      <c r="A28" s="25" t="s">
        <v>23</v>
      </c>
      <c r="B28" s="30" t="s">
        <v>127</v>
      </c>
      <c r="C28" s="25"/>
      <c r="D28" s="25"/>
      <c r="E28" s="25" t="s">
        <v>107</v>
      </c>
      <c r="F28" s="31"/>
      <c r="G28" s="32"/>
      <c r="H28" s="33"/>
      <c r="I28" s="33"/>
      <c r="J28" s="33">
        <v>1060.6199999999999</v>
      </c>
      <c r="K28" s="58"/>
    </row>
    <row r="29" spans="1:11" s="48" customFormat="1" ht="12" x14ac:dyDescent="0.2">
      <c r="A29" s="71" t="s">
        <v>18</v>
      </c>
      <c r="B29" s="70" t="s">
        <v>128</v>
      </c>
      <c r="C29" s="71">
        <v>88310</v>
      </c>
      <c r="D29" s="71" t="s">
        <v>19</v>
      </c>
      <c r="E29" s="71" t="s">
        <v>237</v>
      </c>
      <c r="F29" s="72" t="s">
        <v>26</v>
      </c>
      <c r="G29" s="73">
        <v>33</v>
      </c>
      <c r="H29" s="74">
        <v>25.919999999999995</v>
      </c>
      <c r="I29" s="74">
        <v>32.14</v>
      </c>
      <c r="J29" s="74">
        <v>1060.6199999999999</v>
      </c>
      <c r="K29" s="49"/>
    </row>
    <row r="30" spans="1:11" s="48" customFormat="1" ht="12" x14ac:dyDescent="0.2">
      <c r="A30" s="71" t="s">
        <v>18</v>
      </c>
      <c r="B30" s="70" t="s">
        <v>129</v>
      </c>
      <c r="C30" s="71">
        <v>97171</v>
      </c>
      <c r="D30" s="71" t="s">
        <v>19</v>
      </c>
      <c r="E30" s="71" t="s">
        <v>240</v>
      </c>
      <c r="F30" s="72" t="s">
        <v>112</v>
      </c>
      <c r="G30" s="73">
        <v>14</v>
      </c>
      <c r="H30" s="74">
        <v>32.76</v>
      </c>
      <c r="I30" s="74">
        <v>0</v>
      </c>
      <c r="J30" s="74">
        <v>0</v>
      </c>
      <c r="K30" s="49"/>
    </row>
    <row r="31" spans="1:11" x14ac:dyDescent="0.25">
      <c r="A31" s="71" t="s">
        <v>18</v>
      </c>
      <c r="B31" s="70" t="s">
        <v>135</v>
      </c>
      <c r="C31" s="71">
        <v>97162</v>
      </c>
      <c r="D31" s="71" t="s">
        <v>19</v>
      </c>
      <c r="E31" s="71" t="s">
        <v>241</v>
      </c>
      <c r="F31" s="72" t="s">
        <v>112</v>
      </c>
      <c r="G31" s="73">
        <v>256</v>
      </c>
      <c r="H31" s="74">
        <v>9.5299999999999994</v>
      </c>
      <c r="I31" s="74">
        <v>0</v>
      </c>
      <c r="J31" s="74">
        <v>0</v>
      </c>
    </row>
    <row r="32" spans="1:11" x14ac:dyDescent="0.25">
      <c r="A32" s="71" t="s">
        <v>18</v>
      </c>
      <c r="B32" s="70" t="s">
        <v>136</v>
      </c>
      <c r="C32" s="71">
        <v>88321</v>
      </c>
      <c r="D32" s="71" t="s">
        <v>19</v>
      </c>
      <c r="E32" s="71" t="s">
        <v>242</v>
      </c>
      <c r="F32" s="72" t="s">
        <v>26</v>
      </c>
      <c r="G32" s="73">
        <v>24</v>
      </c>
      <c r="H32" s="74">
        <v>37.22</v>
      </c>
      <c r="I32" s="74">
        <v>0</v>
      </c>
      <c r="J32" s="74">
        <v>0</v>
      </c>
    </row>
    <row r="33" spans="2:10" x14ac:dyDescent="0.25">
      <c r="B33" s="13"/>
      <c r="G33" s="11"/>
      <c r="H33" s="12"/>
      <c r="I33" s="12"/>
      <c r="J33" s="12"/>
    </row>
    <row r="34" spans="2:10" x14ac:dyDescent="0.25">
      <c r="B34" s="13"/>
      <c r="G34" s="11"/>
      <c r="H34" s="12"/>
      <c r="I34" s="12"/>
      <c r="J34" s="12"/>
    </row>
    <row r="35" spans="2:10" x14ac:dyDescent="0.25">
      <c r="B35" s="13"/>
      <c r="G35" s="11"/>
      <c r="H35" s="12"/>
      <c r="I35" s="12"/>
      <c r="J35" s="12"/>
    </row>
    <row r="36" spans="2:10" x14ac:dyDescent="0.25">
      <c r="B36" s="13"/>
      <c r="G36" s="11"/>
      <c r="H36" s="12"/>
      <c r="I36" s="12"/>
    </row>
    <row r="37" spans="2:10" x14ac:dyDescent="0.25">
      <c r="B37" s="13"/>
      <c r="G37" s="11"/>
      <c r="H37" s="12"/>
      <c r="I37" s="12"/>
    </row>
    <row r="38" spans="2:10" x14ac:dyDescent="0.25">
      <c r="B38" s="13"/>
      <c r="H38" s="12"/>
      <c r="I38" s="12"/>
    </row>
    <row r="39" spans="2:10" x14ac:dyDescent="0.25">
      <c r="B39" s="13"/>
    </row>
    <row r="40" spans="2:10" x14ac:dyDescent="0.25">
      <c r="B40" s="13"/>
    </row>
    <row r="41" spans="2:10" x14ac:dyDescent="0.25">
      <c r="B41" s="13"/>
    </row>
    <row r="42" spans="2:10" x14ac:dyDescent="0.25">
      <c r="B42" s="13"/>
    </row>
    <row r="43" spans="2:10" x14ac:dyDescent="0.25">
      <c r="B43" s="13"/>
    </row>
    <row r="44" spans="2:10" x14ac:dyDescent="0.25">
      <c r="B44" s="13"/>
    </row>
    <row r="45" spans="2:10" x14ac:dyDescent="0.25">
      <c r="B45" s="13"/>
    </row>
    <row r="46" spans="2:10" x14ac:dyDescent="0.25">
      <c r="B46" s="13"/>
    </row>
    <row r="47" spans="2:10" x14ac:dyDescent="0.25">
      <c r="B47" s="13"/>
    </row>
    <row r="48" spans="2:10" x14ac:dyDescent="0.25">
      <c r="B48" s="13"/>
    </row>
    <row r="49" spans="2:2" x14ac:dyDescent="0.25">
      <c r="B49" s="13"/>
    </row>
    <row r="50" spans="2:2" x14ac:dyDescent="0.25">
      <c r="B50" s="13"/>
    </row>
    <row r="51" spans="2:2" x14ac:dyDescent="0.25">
      <c r="B51" s="13"/>
    </row>
    <row r="52" spans="2:2" x14ac:dyDescent="0.25">
      <c r="B52" s="13"/>
    </row>
    <row r="53" spans="2:2" x14ac:dyDescent="0.25">
      <c r="B53" s="13"/>
    </row>
    <row r="54" spans="2:2" x14ac:dyDescent="0.25">
      <c r="B54" s="13"/>
    </row>
    <row r="55" spans="2:2" x14ac:dyDescent="0.25">
      <c r="B55" s="13"/>
    </row>
    <row r="56" spans="2:2" x14ac:dyDescent="0.25">
      <c r="B56" s="13"/>
    </row>
    <row r="57" spans="2:2" x14ac:dyDescent="0.25">
      <c r="B57" s="13"/>
    </row>
    <row r="58" spans="2:2" x14ac:dyDescent="0.25">
      <c r="B58" s="13"/>
    </row>
    <row r="59" spans="2:2" x14ac:dyDescent="0.25">
      <c r="B59" s="13"/>
    </row>
    <row r="60" spans="2:2" x14ac:dyDescent="0.25">
      <c r="B60" s="13"/>
    </row>
    <row r="61" spans="2:2" x14ac:dyDescent="0.25">
      <c r="B61" s="13"/>
    </row>
    <row r="62" spans="2:2" x14ac:dyDescent="0.25">
      <c r="B62" s="13"/>
    </row>
    <row r="63" spans="2:2" x14ac:dyDescent="0.25">
      <c r="B63" s="13"/>
    </row>
    <row r="64" spans="2:2" x14ac:dyDescent="0.25">
      <c r="B64" s="13"/>
    </row>
    <row r="65" spans="2:2" x14ac:dyDescent="0.25">
      <c r="B65" s="13"/>
    </row>
    <row r="66" spans="2:2" x14ac:dyDescent="0.25">
      <c r="B66" s="13"/>
    </row>
    <row r="67" spans="2:2" x14ac:dyDescent="0.25">
      <c r="B67" s="13"/>
    </row>
    <row r="68" spans="2:2" x14ac:dyDescent="0.25">
      <c r="B68" s="13"/>
    </row>
    <row r="69" spans="2:2" x14ac:dyDescent="0.25">
      <c r="B69" s="13"/>
    </row>
    <row r="70" spans="2:2" x14ac:dyDescent="0.25">
      <c r="B70" s="13"/>
    </row>
    <row r="71" spans="2:2" x14ac:dyDescent="0.25">
      <c r="B71" s="13"/>
    </row>
    <row r="72" spans="2:2" x14ac:dyDescent="0.25">
      <c r="B72" s="13"/>
    </row>
    <row r="73" spans="2:2" x14ac:dyDescent="0.25">
      <c r="B73" s="13"/>
    </row>
    <row r="74" spans="2:2" x14ac:dyDescent="0.25">
      <c r="B74" s="13"/>
    </row>
    <row r="75" spans="2:2" x14ac:dyDescent="0.25">
      <c r="B75" s="13"/>
    </row>
    <row r="76" spans="2:2" x14ac:dyDescent="0.25">
      <c r="B76" s="13"/>
    </row>
    <row r="77" spans="2:2" x14ac:dyDescent="0.25">
      <c r="B77" s="13"/>
    </row>
    <row r="78" spans="2:2" x14ac:dyDescent="0.25">
      <c r="B78" s="13"/>
    </row>
    <row r="79" spans="2:2" x14ac:dyDescent="0.25">
      <c r="B79" s="13"/>
    </row>
    <row r="80" spans="2:2" x14ac:dyDescent="0.25">
      <c r="B80" s="13"/>
    </row>
    <row r="81" spans="2:2" x14ac:dyDescent="0.25">
      <c r="B81" s="13"/>
    </row>
    <row r="82" spans="2:2" x14ac:dyDescent="0.25">
      <c r="B82" s="13"/>
    </row>
    <row r="83" spans="2:2" x14ac:dyDescent="0.25">
      <c r="B83" s="13"/>
    </row>
    <row r="84" spans="2:2" x14ac:dyDescent="0.25">
      <c r="B84" s="13"/>
    </row>
    <row r="85" spans="2:2" x14ac:dyDescent="0.25">
      <c r="B85" s="13"/>
    </row>
    <row r="86" spans="2:2" x14ac:dyDescent="0.25">
      <c r="B86" s="13"/>
    </row>
    <row r="87" spans="2:2" x14ac:dyDescent="0.25">
      <c r="B87" s="13"/>
    </row>
    <row r="88" spans="2:2" x14ac:dyDescent="0.25">
      <c r="B88" s="13"/>
    </row>
    <row r="89" spans="2:2" x14ac:dyDescent="0.25">
      <c r="B89" s="13"/>
    </row>
    <row r="90" spans="2:2" x14ac:dyDescent="0.25">
      <c r="B90" s="13"/>
    </row>
    <row r="91" spans="2:2" x14ac:dyDescent="0.25">
      <c r="B91" s="13"/>
    </row>
    <row r="92" spans="2:2" x14ac:dyDescent="0.25">
      <c r="B92" s="13"/>
    </row>
    <row r="93" spans="2:2" x14ac:dyDescent="0.25">
      <c r="B93" s="13"/>
    </row>
    <row r="94" spans="2:2" x14ac:dyDescent="0.25">
      <c r="B94" s="13"/>
    </row>
    <row r="95" spans="2:2" x14ac:dyDescent="0.25">
      <c r="B95" s="13"/>
    </row>
    <row r="96" spans="2:2" x14ac:dyDescent="0.25">
      <c r="B96" s="13"/>
    </row>
    <row r="97" spans="2:2" x14ac:dyDescent="0.25">
      <c r="B97" s="13"/>
    </row>
    <row r="98" spans="2:2" x14ac:dyDescent="0.25">
      <c r="B98" s="13"/>
    </row>
    <row r="99" spans="2:2" x14ac:dyDescent="0.25">
      <c r="B99" s="13"/>
    </row>
    <row r="100" spans="2:2" x14ac:dyDescent="0.25">
      <c r="B100" s="13"/>
    </row>
    <row r="101" spans="2:2" x14ac:dyDescent="0.25">
      <c r="B101" s="13"/>
    </row>
    <row r="102" spans="2:2" x14ac:dyDescent="0.25">
      <c r="B102" s="13"/>
    </row>
    <row r="103" spans="2:2" x14ac:dyDescent="0.25">
      <c r="B103" s="13"/>
    </row>
    <row r="104" spans="2:2" x14ac:dyDescent="0.25">
      <c r="B104" s="13"/>
    </row>
    <row r="105" spans="2:2" x14ac:dyDescent="0.25">
      <c r="B105" s="13"/>
    </row>
    <row r="106" spans="2:2" x14ac:dyDescent="0.25">
      <c r="B106" s="13"/>
    </row>
    <row r="107" spans="2:2" x14ac:dyDescent="0.25">
      <c r="B107" s="13"/>
    </row>
    <row r="108" spans="2:2" x14ac:dyDescent="0.25">
      <c r="B108" s="13"/>
    </row>
    <row r="109" spans="2:2" x14ac:dyDescent="0.25">
      <c r="B109" s="13"/>
    </row>
    <row r="110" spans="2:2" x14ac:dyDescent="0.25">
      <c r="B110" s="13"/>
    </row>
    <row r="111" spans="2:2" x14ac:dyDescent="0.25">
      <c r="B111" s="13"/>
    </row>
    <row r="112" spans="2:2" x14ac:dyDescent="0.25">
      <c r="B112" s="13"/>
    </row>
    <row r="113" spans="2:2" x14ac:dyDescent="0.25">
      <c r="B113" s="13"/>
    </row>
    <row r="114" spans="2:2" x14ac:dyDescent="0.25">
      <c r="B114" s="13"/>
    </row>
    <row r="115" spans="2:2" x14ac:dyDescent="0.25">
      <c r="B115" s="13"/>
    </row>
    <row r="116" spans="2:2" x14ac:dyDescent="0.25">
      <c r="B116" s="13"/>
    </row>
    <row r="117" spans="2:2" x14ac:dyDescent="0.25">
      <c r="B117" s="13"/>
    </row>
    <row r="118" spans="2:2" x14ac:dyDescent="0.25">
      <c r="B118" s="13"/>
    </row>
    <row r="119" spans="2:2" x14ac:dyDescent="0.25">
      <c r="B119" s="13"/>
    </row>
    <row r="120" spans="2:2" x14ac:dyDescent="0.25">
      <c r="B120" s="13"/>
    </row>
    <row r="121" spans="2:2" x14ac:dyDescent="0.25">
      <c r="B121" s="13"/>
    </row>
    <row r="122" spans="2:2" x14ac:dyDescent="0.25">
      <c r="B122" s="13"/>
    </row>
    <row r="123" spans="2:2" x14ac:dyDescent="0.25">
      <c r="B123" s="13"/>
    </row>
    <row r="124" spans="2:2" x14ac:dyDescent="0.25">
      <c r="B124" s="13"/>
    </row>
    <row r="125" spans="2:2" x14ac:dyDescent="0.25">
      <c r="B125" s="13"/>
    </row>
    <row r="126" spans="2:2" x14ac:dyDescent="0.25">
      <c r="B126" s="13"/>
    </row>
    <row r="127" spans="2:2" x14ac:dyDescent="0.25">
      <c r="B127" s="13"/>
    </row>
    <row r="128" spans="2:2" x14ac:dyDescent="0.25">
      <c r="B128" s="13"/>
    </row>
    <row r="129" spans="2:2" x14ac:dyDescent="0.25">
      <c r="B129" s="13"/>
    </row>
    <row r="130" spans="2:2" x14ac:dyDescent="0.25">
      <c r="B130" s="13"/>
    </row>
    <row r="131" spans="2:2" x14ac:dyDescent="0.25">
      <c r="B131" s="13"/>
    </row>
    <row r="132" spans="2:2" x14ac:dyDescent="0.25">
      <c r="B132" s="13"/>
    </row>
    <row r="133" spans="2:2" x14ac:dyDescent="0.25">
      <c r="B133" s="13"/>
    </row>
    <row r="134" spans="2:2" x14ac:dyDescent="0.25">
      <c r="B134" s="13"/>
    </row>
    <row r="135" spans="2:2" x14ac:dyDescent="0.25">
      <c r="B135" s="13"/>
    </row>
    <row r="136" spans="2:2" x14ac:dyDescent="0.25">
      <c r="B136" s="13"/>
    </row>
    <row r="137" spans="2:2" x14ac:dyDescent="0.25">
      <c r="B137" s="13"/>
    </row>
    <row r="138" spans="2:2" x14ac:dyDescent="0.25">
      <c r="B138" s="13"/>
    </row>
    <row r="139" spans="2:2" x14ac:dyDescent="0.25">
      <c r="B139" s="13"/>
    </row>
    <row r="140" spans="2:2" x14ac:dyDescent="0.25">
      <c r="B140" s="13"/>
    </row>
    <row r="141" spans="2:2" x14ac:dyDescent="0.25">
      <c r="B141" s="13"/>
    </row>
    <row r="142" spans="2:2" x14ac:dyDescent="0.25">
      <c r="B142" s="13"/>
    </row>
    <row r="143" spans="2:2" x14ac:dyDescent="0.25">
      <c r="B143" s="13"/>
    </row>
    <row r="144" spans="2:2" x14ac:dyDescent="0.25">
      <c r="B144" s="13"/>
    </row>
    <row r="145" spans="2:2" x14ac:dyDescent="0.25">
      <c r="B145" s="13"/>
    </row>
    <row r="146" spans="2:2" x14ac:dyDescent="0.25">
      <c r="B146" s="13"/>
    </row>
    <row r="147" spans="2:2" x14ac:dyDescent="0.25">
      <c r="B147" s="13"/>
    </row>
    <row r="148" spans="2:2" x14ac:dyDescent="0.25">
      <c r="B148" s="13"/>
    </row>
    <row r="149" spans="2:2" x14ac:dyDescent="0.25">
      <c r="B149" s="13"/>
    </row>
    <row r="150" spans="2:2" x14ac:dyDescent="0.25">
      <c r="B150" s="13"/>
    </row>
    <row r="151" spans="2:2" x14ac:dyDescent="0.25">
      <c r="B151" s="13"/>
    </row>
    <row r="152" spans="2:2" x14ac:dyDescent="0.25">
      <c r="B152" s="13"/>
    </row>
    <row r="153" spans="2:2" x14ac:dyDescent="0.25">
      <c r="B153" s="13"/>
    </row>
    <row r="154" spans="2:2" x14ac:dyDescent="0.25">
      <c r="B154" s="13"/>
    </row>
    <row r="155" spans="2:2" x14ac:dyDescent="0.25">
      <c r="B155" s="13"/>
    </row>
    <row r="156" spans="2:2" x14ac:dyDescent="0.25">
      <c r="B156" s="13"/>
    </row>
    <row r="157" spans="2:2" x14ac:dyDescent="0.25">
      <c r="B157" s="13"/>
    </row>
    <row r="158" spans="2:2" x14ac:dyDescent="0.25">
      <c r="B158" s="13"/>
    </row>
    <row r="159" spans="2:2" x14ac:dyDescent="0.25">
      <c r="B159" s="13"/>
    </row>
    <row r="160" spans="2:2" x14ac:dyDescent="0.25">
      <c r="B160" s="13"/>
    </row>
    <row r="161" spans="2:2" x14ac:dyDescent="0.25">
      <c r="B161" s="13"/>
    </row>
    <row r="162" spans="2:2" x14ac:dyDescent="0.25">
      <c r="B162" s="13"/>
    </row>
    <row r="163" spans="2:2" x14ac:dyDescent="0.25">
      <c r="B163" s="13"/>
    </row>
    <row r="164" spans="2:2" x14ac:dyDescent="0.25">
      <c r="B164" s="13"/>
    </row>
    <row r="165" spans="2:2" x14ac:dyDescent="0.25">
      <c r="B165" s="13"/>
    </row>
    <row r="166" spans="2:2" x14ac:dyDescent="0.25">
      <c r="B166" s="13"/>
    </row>
    <row r="167" spans="2:2" x14ac:dyDescent="0.25">
      <c r="B167" s="13"/>
    </row>
    <row r="168" spans="2:2" x14ac:dyDescent="0.25">
      <c r="B168" s="13"/>
    </row>
    <row r="169" spans="2:2" x14ac:dyDescent="0.25">
      <c r="B169" s="13"/>
    </row>
    <row r="170" spans="2:2" x14ac:dyDescent="0.25">
      <c r="B170" s="13"/>
    </row>
    <row r="171" spans="2:2" x14ac:dyDescent="0.25">
      <c r="B171" s="13"/>
    </row>
    <row r="172" spans="2:2" x14ac:dyDescent="0.25">
      <c r="B172" s="13"/>
    </row>
    <row r="173" spans="2:2" x14ac:dyDescent="0.25">
      <c r="B173" s="13"/>
    </row>
    <row r="174" spans="2:2" x14ac:dyDescent="0.25">
      <c r="B174" s="13"/>
    </row>
    <row r="175" spans="2:2" x14ac:dyDescent="0.25">
      <c r="B175" s="13"/>
    </row>
    <row r="176" spans="2:2" x14ac:dyDescent="0.25">
      <c r="B176" s="13"/>
    </row>
    <row r="177" spans="2:2" x14ac:dyDescent="0.25">
      <c r="B177" s="13"/>
    </row>
    <row r="178" spans="2:2" x14ac:dyDescent="0.25">
      <c r="B178" s="13"/>
    </row>
    <row r="179" spans="2:2" x14ac:dyDescent="0.25">
      <c r="B179" s="13"/>
    </row>
    <row r="180" spans="2:2" x14ac:dyDescent="0.25">
      <c r="B180" s="13"/>
    </row>
    <row r="181" spans="2:2" x14ac:dyDescent="0.25">
      <c r="B181" s="13"/>
    </row>
    <row r="182" spans="2:2" x14ac:dyDescent="0.25">
      <c r="B182" s="13"/>
    </row>
    <row r="183" spans="2:2" x14ac:dyDescent="0.25">
      <c r="B183" s="13"/>
    </row>
    <row r="184" spans="2:2" x14ac:dyDescent="0.25">
      <c r="B184" s="13"/>
    </row>
    <row r="185" spans="2:2" x14ac:dyDescent="0.25">
      <c r="B185" s="13"/>
    </row>
    <row r="186" spans="2:2" x14ac:dyDescent="0.25">
      <c r="B186" s="13"/>
    </row>
    <row r="187" spans="2:2" x14ac:dyDescent="0.25">
      <c r="B187" s="13"/>
    </row>
    <row r="188" spans="2:2" x14ac:dyDescent="0.25">
      <c r="B188" s="13"/>
    </row>
    <row r="189" spans="2:2" x14ac:dyDescent="0.25">
      <c r="B189" s="13"/>
    </row>
    <row r="190" spans="2:2" x14ac:dyDescent="0.25">
      <c r="B190" s="13"/>
    </row>
    <row r="191" spans="2:2" x14ac:dyDescent="0.25">
      <c r="B191" s="13"/>
    </row>
    <row r="192" spans="2:2" x14ac:dyDescent="0.25">
      <c r="B192" s="13"/>
    </row>
    <row r="193" spans="2:2" x14ac:dyDescent="0.25">
      <c r="B193" s="13"/>
    </row>
    <row r="194" spans="2:2" x14ac:dyDescent="0.25">
      <c r="B194" s="13"/>
    </row>
    <row r="195" spans="2:2" x14ac:dyDescent="0.25">
      <c r="B195" s="13"/>
    </row>
    <row r="196" spans="2:2" x14ac:dyDescent="0.25">
      <c r="B196" s="13"/>
    </row>
    <row r="197" spans="2:2" x14ac:dyDescent="0.25">
      <c r="B197" s="13"/>
    </row>
    <row r="198" spans="2:2" x14ac:dyDescent="0.25">
      <c r="B198" s="13"/>
    </row>
    <row r="199" spans="2:2" x14ac:dyDescent="0.25">
      <c r="B199" s="13"/>
    </row>
    <row r="200" spans="2:2" x14ac:dyDescent="0.25">
      <c r="B200" s="13"/>
    </row>
  </sheetData>
  <dataValidations count="3">
    <dataValidation type="list" allowBlank="1" showInputMessage="1" showErrorMessage="1" sqref="A8:A57" xr:uid="{00000000-0002-0000-0000-000000000000}">
      <formula1>"1 - CAPÍTULO,2 - SUBCAPÍTULO 1,3 - SUBCAPÍTULO 2,4 - SUBCAPÍTULO 3,5 - SERVIÇO"</formula1>
    </dataValidation>
    <dataValidation type="list" allowBlank="1" showInputMessage="1" showErrorMessage="1" sqref="D8:D57" xr:uid="{00000000-0002-0000-0000-000001000000}">
      <formula1>"SINAPI,ORSE,SICRO,SEINFRA,COTAÇÃO,SINAPI-I"</formula1>
    </dataValidation>
    <dataValidation type="list" allowBlank="1" showDropDown="1" showInputMessage="1" showErrorMessage="1" sqref="D8:D57" xr:uid="{00000000-0002-0000-0000-000002000000}">
      <formula1>"SINAPI,SINAPI-I,ORSE,SICRO,SEINFRA,CAERN"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GerarComposicaoAnalitica_CHECKPOINTV14">
                <anchor moveWithCells="1" sizeWithCells="1">
                  <from>
                    <xdr:col>12</xdr:col>
                    <xdr:colOff>495300</xdr:colOff>
                    <xdr:row>0</xdr:row>
                    <xdr:rowOff>314325</xdr:rowOff>
                  </from>
                  <to>
                    <xdr:col>14</xdr:col>
                    <xdr:colOff>180975</xdr:colOff>
                    <xdr:row>0</xdr:row>
                    <xdr:rowOff>752475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" name="Button 66">
              <controlPr defaultSize="0" print="0" autoFill="0" autoPict="0" macro="[0]!CopiaAjustadaComFormulas">
                <anchor moveWithCells="1" sizeWithCells="1">
                  <from>
                    <xdr:col>12</xdr:col>
                    <xdr:colOff>504825</xdr:colOff>
                    <xdr:row>1</xdr:row>
                    <xdr:rowOff>85725</xdr:rowOff>
                  </from>
                  <to>
                    <xdr:col>14</xdr:col>
                    <xdr:colOff>180975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1C78B-44B8-44A1-9DD2-D79EC7E93502}">
  <dimension ref="A1:J32"/>
  <sheetViews>
    <sheetView workbookViewId="0">
      <selection activeCell="N16" sqref="N16"/>
    </sheetView>
  </sheetViews>
  <sheetFormatPr defaultRowHeight="15" x14ac:dyDescent="0.25"/>
  <cols>
    <col min="10" max="10" width="14.28515625" bestFit="1" customWidth="1"/>
    <col min="13" max="13" width="18.7109375" customWidth="1"/>
  </cols>
  <sheetData>
    <row r="1" spans="1:10" x14ac:dyDescent="0.25">
      <c r="A1" s="63"/>
      <c r="B1" s="7"/>
      <c r="F1" s="6"/>
      <c r="G1" s="6"/>
      <c r="H1" s="6"/>
      <c r="I1" s="6"/>
      <c r="J1" s="6"/>
    </row>
    <row r="2" spans="1:10" x14ac:dyDescent="0.25">
      <c r="A2" s="63"/>
      <c r="B2" s="3" t="s">
        <v>0</v>
      </c>
      <c r="C2" s="1" t="s">
        <v>1</v>
      </c>
      <c r="D2" s="1"/>
      <c r="E2" s="1"/>
      <c r="F2" s="2"/>
      <c r="G2" s="2"/>
      <c r="H2" s="2"/>
      <c r="I2" s="8" t="s">
        <v>17</v>
      </c>
      <c r="J2" s="10">
        <v>24.37</v>
      </c>
    </row>
    <row r="3" spans="1:10" x14ac:dyDescent="0.25">
      <c r="A3" s="63"/>
      <c r="B3" s="3" t="s">
        <v>2</v>
      </c>
      <c r="C3" s="1" t="s">
        <v>3</v>
      </c>
      <c r="D3" s="1"/>
      <c r="E3" s="1"/>
      <c r="F3" s="2"/>
      <c r="G3" s="2"/>
      <c r="H3" s="2"/>
      <c r="I3" s="2"/>
      <c r="J3" s="2"/>
    </row>
    <row r="4" spans="1:10" x14ac:dyDescent="0.25">
      <c r="A4" s="63"/>
      <c r="B4" s="3" t="s">
        <v>4</v>
      </c>
      <c r="C4" s="9">
        <v>45765</v>
      </c>
      <c r="D4" s="1"/>
      <c r="E4" s="1"/>
      <c r="F4" s="2"/>
      <c r="G4" s="2"/>
      <c r="H4" s="2"/>
      <c r="I4" s="8" t="s">
        <v>5</v>
      </c>
      <c r="J4" s="2" t="s">
        <v>6</v>
      </c>
    </row>
    <row r="5" spans="1:10" ht="15.75" x14ac:dyDescent="0.25">
      <c r="A5" s="63"/>
      <c r="B5" s="7"/>
      <c r="F5" s="6"/>
      <c r="G5" s="6"/>
      <c r="H5" s="6"/>
      <c r="I5" s="2" t="s">
        <v>108</v>
      </c>
      <c r="J5" s="62">
        <f>SUM(J8,J15,J23,J27)</f>
        <v>290138.20999999996</v>
      </c>
    </row>
    <row r="6" spans="1:10" x14ac:dyDescent="0.25">
      <c r="A6" s="63"/>
      <c r="B6" s="7"/>
      <c r="F6" s="6"/>
      <c r="G6" s="6"/>
      <c r="H6" s="6"/>
      <c r="I6" s="6"/>
      <c r="J6" s="6"/>
    </row>
    <row r="7" spans="1:10" x14ac:dyDescent="0.25">
      <c r="A7" s="64"/>
      <c r="B7" s="5" t="s">
        <v>7</v>
      </c>
      <c r="C7" s="4" t="s">
        <v>8</v>
      </c>
      <c r="D7" s="4" t="s">
        <v>9</v>
      </c>
      <c r="E7" s="5" t="s">
        <v>10</v>
      </c>
      <c r="F7" s="4" t="s">
        <v>11</v>
      </c>
      <c r="G7" s="4" t="s">
        <v>12</v>
      </c>
      <c r="H7" s="4" t="s">
        <v>13</v>
      </c>
      <c r="I7" s="4" t="s">
        <v>14</v>
      </c>
      <c r="J7" s="4" t="s">
        <v>15</v>
      </c>
    </row>
    <row r="8" spans="1:10" x14ac:dyDescent="0.25">
      <c r="A8" s="14" t="s">
        <v>16</v>
      </c>
      <c r="B8" s="15" t="s">
        <v>20</v>
      </c>
      <c r="C8" s="14"/>
      <c r="D8" s="14"/>
      <c r="E8" s="14" t="s">
        <v>106</v>
      </c>
      <c r="F8" s="16"/>
      <c r="G8" s="17"/>
      <c r="H8" s="16"/>
      <c r="I8" s="18"/>
      <c r="J8" s="18">
        <f>SUM(J10:J14)</f>
        <v>45882.189999999995</v>
      </c>
    </row>
    <row r="9" spans="1:10" x14ac:dyDescent="0.25">
      <c r="A9" s="20" t="s">
        <v>23</v>
      </c>
      <c r="B9" s="21" t="s">
        <v>21</v>
      </c>
      <c r="C9" s="20"/>
      <c r="D9" s="20" t="s">
        <v>19</v>
      </c>
      <c r="E9" s="20" t="s">
        <v>107</v>
      </c>
      <c r="F9" s="22"/>
      <c r="G9" s="23"/>
      <c r="H9" s="22"/>
      <c r="I9" s="24"/>
      <c r="J9" s="24">
        <f>SUM(J10:J14)</f>
        <v>45882.189999999995</v>
      </c>
    </row>
    <row r="10" spans="1:10" x14ac:dyDescent="0.25">
      <c r="A10" s="65" t="s">
        <v>18</v>
      </c>
      <c r="B10" s="66" t="s">
        <v>22</v>
      </c>
      <c r="C10" s="65">
        <v>88309</v>
      </c>
      <c r="D10" s="65" t="s">
        <v>19</v>
      </c>
      <c r="E10" s="65" t="s">
        <v>25</v>
      </c>
      <c r="F10" s="67" t="s">
        <v>26</v>
      </c>
      <c r="G10" s="68">
        <v>14.32</v>
      </c>
      <c r="H10" s="69">
        <f>IFERROR(VLOOKUP(C10,COMP_COPY!B:G,6,FALSE),"")</f>
        <v>23.019999999999996</v>
      </c>
      <c r="I10" s="69">
        <f>ROUND(H10*(1+J2/100),2)</f>
        <v>28.63</v>
      </c>
      <c r="J10" s="69">
        <f>ROUND(I10*G10,2)</f>
        <v>409.98</v>
      </c>
    </row>
    <row r="11" spans="1:10" x14ac:dyDescent="0.25">
      <c r="A11" s="65" t="s">
        <v>18</v>
      </c>
      <c r="B11" s="66" t="s">
        <v>24</v>
      </c>
      <c r="C11" s="65">
        <v>88316</v>
      </c>
      <c r="D11" s="65" t="s">
        <v>19</v>
      </c>
      <c r="E11" s="65" t="s">
        <v>50</v>
      </c>
      <c r="F11" s="67" t="s">
        <v>26</v>
      </c>
      <c r="G11" s="68">
        <v>25.66</v>
      </c>
      <c r="H11" s="69">
        <f>IFERROR(VLOOKUP(C11,COMP_COPY!B:G,6,FALSE),"")</f>
        <v>18.729999999999997</v>
      </c>
      <c r="I11" s="69">
        <f>ROUND(H11*(1+J2/100),2)</f>
        <v>23.29</v>
      </c>
      <c r="J11" s="69">
        <f>ROUND(I11*G11,2)</f>
        <v>597.62</v>
      </c>
    </row>
    <row r="12" spans="1:10" x14ac:dyDescent="0.25">
      <c r="A12" s="65" t="s">
        <v>18</v>
      </c>
      <c r="B12" s="66" t="s">
        <v>137</v>
      </c>
      <c r="C12" s="65">
        <v>88404</v>
      </c>
      <c r="D12" s="65" t="s">
        <v>19</v>
      </c>
      <c r="E12" s="65" t="s">
        <v>148</v>
      </c>
      <c r="F12" s="67" t="s">
        <v>49</v>
      </c>
      <c r="G12" s="68">
        <v>91.24</v>
      </c>
      <c r="H12" s="69">
        <f>IFERROR(VLOOKUP(C12,COMP_COPY!B:G,6,FALSE),"")</f>
        <v>0.93</v>
      </c>
      <c r="I12" s="69">
        <f>ROUND(H12*(1+J2/100),2)</f>
        <v>1.1599999999999999</v>
      </c>
      <c r="J12" s="69">
        <f>ROUND(I12*G12,2)</f>
        <v>105.84</v>
      </c>
    </row>
    <row r="13" spans="1:10" x14ac:dyDescent="0.25">
      <c r="A13" s="65" t="s">
        <v>18</v>
      </c>
      <c r="B13" s="66" t="s">
        <v>138</v>
      </c>
      <c r="C13" s="65">
        <v>97141</v>
      </c>
      <c r="D13" s="65" t="s">
        <v>19</v>
      </c>
      <c r="E13" s="65" t="s">
        <v>111</v>
      </c>
      <c r="F13" s="67" t="s">
        <v>112</v>
      </c>
      <c r="G13" s="68">
        <v>14.25</v>
      </c>
      <c r="H13" s="69">
        <f>IFERROR(VLOOKUP(C13,COMP_COPY!B:G,6,FALSE),"")</f>
        <v>4.55</v>
      </c>
      <c r="I13" s="69">
        <f>ROUND(H13*(1+J2/100),2)</f>
        <v>5.66</v>
      </c>
      <c r="J13" s="69">
        <f>ROUND(I13*G13,2)</f>
        <v>80.66</v>
      </c>
    </row>
    <row r="14" spans="1:10" x14ac:dyDescent="0.25">
      <c r="A14" s="65" t="s">
        <v>18</v>
      </c>
      <c r="B14" s="66" t="s">
        <v>139</v>
      </c>
      <c r="C14" s="65">
        <v>88262</v>
      </c>
      <c r="D14" s="65" t="s">
        <v>19</v>
      </c>
      <c r="E14" s="65" t="s">
        <v>140</v>
      </c>
      <c r="F14" s="67" t="s">
        <v>26</v>
      </c>
      <c r="G14" s="68">
        <v>1583</v>
      </c>
      <c r="H14" s="69">
        <f>IFERROR(VLOOKUP(C14,COMP_COPY!B:G,6,FALSE),"")</f>
        <v>22.699999999999996</v>
      </c>
      <c r="I14" s="69">
        <f>ROUND(H14*(1+J2/100),2)</f>
        <v>28.23</v>
      </c>
      <c r="J14" s="69">
        <f>ROUND(I14*G14,2)</f>
        <v>44688.09</v>
      </c>
    </row>
    <row r="15" spans="1:10" x14ac:dyDescent="0.25">
      <c r="A15" s="14" t="s">
        <v>16</v>
      </c>
      <c r="B15" s="15" t="s">
        <v>35</v>
      </c>
      <c r="C15" s="14"/>
      <c r="D15" s="14"/>
      <c r="E15" s="14" t="s">
        <v>235</v>
      </c>
      <c r="F15" s="16"/>
      <c r="G15" s="17"/>
      <c r="H15" s="18"/>
      <c r="I15" s="18"/>
      <c r="J15" s="18">
        <f>SUM(J17:J22)</f>
        <v>56454.090000000004</v>
      </c>
    </row>
    <row r="16" spans="1:10" x14ac:dyDescent="0.25">
      <c r="A16" s="20" t="s">
        <v>23</v>
      </c>
      <c r="B16" s="21" t="s">
        <v>36</v>
      </c>
      <c r="C16" s="20"/>
      <c r="D16" s="20"/>
      <c r="E16" s="20" t="s">
        <v>107</v>
      </c>
      <c r="F16" s="22"/>
      <c r="G16" s="23"/>
      <c r="H16" s="24"/>
      <c r="I16" s="24"/>
      <c r="J16" s="24">
        <f>SUM(J17:J22)</f>
        <v>56454.090000000004</v>
      </c>
    </row>
    <row r="17" spans="1:10" x14ac:dyDescent="0.25">
      <c r="A17" s="65" t="s">
        <v>18</v>
      </c>
      <c r="B17" s="66" t="s">
        <v>100</v>
      </c>
      <c r="C17" s="65">
        <v>88311</v>
      </c>
      <c r="D17" s="65" t="s">
        <v>19</v>
      </c>
      <c r="E17" s="65" t="s">
        <v>130</v>
      </c>
      <c r="F17" s="67" t="s">
        <v>26</v>
      </c>
      <c r="G17" s="68">
        <v>145</v>
      </c>
      <c r="H17" s="69">
        <f>IFERROR(VLOOKUP(C17,COMP_COPY!B:G,6,FALSE),"")</f>
        <v>25.389999999999997</v>
      </c>
      <c r="I17" s="69">
        <f>ROUND(H17*(1+J2/100),2)</f>
        <v>31.58</v>
      </c>
      <c r="J17" s="69">
        <f>ROUND(I17*G17,2)</f>
        <v>4579.1000000000004</v>
      </c>
    </row>
    <row r="18" spans="1:10" x14ac:dyDescent="0.25">
      <c r="A18" s="65" t="s">
        <v>18</v>
      </c>
      <c r="B18" s="70" t="s">
        <v>101</v>
      </c>
      <c r="C18" s="71">
        <v>97142</v>
      </c>
      <c r="D18" s="71" t="s">
        <v>19</v>
      </c>
      <c r="E18" s="71" t="s">
        <v>149</v>
      </c>
      <c r="F18" s="72" t="s">
        <v>112</v>
      </c>
      <c r="G18" s="73">
        <v>1247</v>
      </c>
      <c r="H18" s="74">
        <f>IFERROR(VLOOKUP(C18,COMP_COPY!B:G,6,FALSE),"")</f>
        <v>5.24</v>
      </c>
      <c r="I18" s="74">
        <f>ROUND(H18*(1+J2/100),2)</f>
        <v>6.52</v>
      </c>
      <c r="J18" s="74">
        <f>ROUND(I18*G18,2)</f>
        <v>8130.44</v>
      </c>
    </row>
    <row r="19" spans="1:10" x14ac:dyDescent="0.25">
      <c r="A19" s="65" t="s">
        <v>18</v>
      </c>
      <c r="B19" s="70" t="s">
        <v>102</v>
      </c>
      <c r="C19" s="71">
        <v>97143</v>
      </c>
      <c r="D19" s="71" t="s">
        <v>19</v>
      </c>
      <c r="E19" s="71" t="s">
        <v>150</v>
      </c>
      <c r="F19" s="72" t="s">
        <v>112</v>
      </c>
      <c r="G19" s="73">
        <v>245</v>
      </c>
      <c r="H19" s="74">
        <f>IFERROR(VLOOKUP(C19,COMP_COPY!B:G,6,FALSE),"")</f>
        <v>6.9</v>
      </c>
      <c r="I19" s="74">
        <f>ROUND(H19*(1+J2/100),2)</f>
        <v>8.58</v>
      </c>
      <c r="J19" s="74">
        <f>ROUND(I19*G19,2)</f>
        <v>2102.1</v>
      </c>
    </row>
    <row r="20" spans="1:10" x14ac:dyDescent="0.25">
      <c r="A20" s="71" t="s">
        <v>18</v>
      </c>
      <c r="B20" s="70" t="s">
        <v>103</v>
      </c>
      <c r="C20" s="71">
        <v>87804</v>
      </c>
      <c r="D20" s="71" t="s">
        <v>19</v>
      </c>
      <c r="E20" s="71" t="s">
        <v>83</v>
      </c>
      <c r="F20" s="72" t="s">
        <v>58</v>
      </c>
      <c r="G20" s="73">
        <v>21.87</v>
      </c>
      <c r="H20" s="74">
        <f>IFERROR(VLOOKUP(C20,COMP_COPY!B:G,6,FALSE),"")</f>
        <v>117.69000000000001</v>
      </c>
      <c r="I20" s="74">
        <f>ROUND(H20*(1+J2/100),2)</f>
        <v>146.37</v>
      </c>
      <c r="J20" s="74">
        <f>ROUND(I20*G20,2)</f>
        <v>3201.11</v>
      </c>
    </row>
    <row r="21" spans="1:10" x14ac:dyDescent="0.25">
      <c r="A21" s="71" t="s">
        <v>18</v>
      </c>
      <c r="B21" s="70" t="s">
        <v>104</v>
      </c>
      <c r="C21" s="71">
        <v>87404</v>
      </c>
      <c r="D21" s="71" t="s">
        <v>19</v>
      </c>
      <c r="E21" s="71" t="s">
        <v>33</v>
      </c>
      <c r="F21" s="72" t="s">
        <v>34</v>
      </c>
      <c r="G21" s="73">
        <v>4.6900000000000004</v>
      </c>
      <c r="H21" s="74">
        <f>IFERROR(VLOOKUP(C21,COMP_COPY!B:G,6,FALSE),"")</f>
        <v>5293.94</v>
      </c>
      <c r="I21" s="74">
        <f>ROUND(H21*(1+J2/100),2)</f>
        <v>6584.07</v>
      </c>
      <c r="J21" s="74">
        <f>ROUND(I21*G21,2)</f>
        <v>30879.29</v>
      </c>
    </row>
    <row r="22" spans="1:10" x14ac:dyDescent="0.25">
      <c r="A22" s="71" t="s">
        <v>18</v>
      </c>
      <c r="B22" s="70" t="s">
        <v>109</v>
      </c>
      <c r="C22" s="71">
        <v>99260</v>
      </c>
      <c r="D22" s="71" t="s">
        <v>19</v>
      </c>
      <c r="E22" s="71" t="s">
        <v>151</v>
      </c>
      <c r="F22" s="72" t="s">
        <v>32</v>
      </c>
      <c r="G22" s="73">
        <v>14.98</v>
      </c>
      <c r="H22" s="74">
        <f>IFERROR(VLOOKUP(C22,COMP_COPY!B:G,6,FALSE),"")</f>
        <v>405.89</v>
      </c>
      <c r="I22" s="74">
        <f>ROUND(H22*(1+J2/100),2)</f>
        <v>504.81</v>
      </c>
      <c r="J22" s="74">
        <f>ROUND(I22*G22,2)</f>
        <v>7562.05</v>
      </c>
    </row>
    <row r="23" spans="1:10" x14ac:dyDescent="0.25">
      <c r="A23" s="19" t="s">
        <v>16</v>
      </c>
      <c r="B23" s="26" t="s">
        <v>37</v>
      </c>
      <c r="C23" s="19"/>
      <c r="D23" s="19"/>
      <c r="E23" s="19" t="s">
        <v>92</v>
      </c>
      <c r="F23" s="27"/>
      <c r="G23" s="28"/>
      <c r="H23" s="29"/>
      <c r="I23" s="29"/>
      <c r="J23" s="29">
        <f>SUM(J25:J26)</f>
        <v>183134.05</v>
      </c>
    </row>
    <row r="24" spans="1:10" x14ac:dyDescent="0.25">
      <c r="A24" s="25" t="s">
        <v>23</v>
      </c>
      <c r="B24" s="30" t="s">
        <v>38</v>
      </c>
      <c r="C24" s="25"/>
      <c r="D24" s="25"/>
      <c r="E24" s="25" t="s">
        <v>107</v>
      </c>
      <c r="F24" s="31"/>
      <c r="G24" s="32"/>
      <c r="H24" s="33"/>
      <c r="I24" s="33"/>
      <c r="J24" s="33">
        <f>SUM(J25:J26)</f>
        <v>183134.05</v>
      </c>
    </row>
    <row r="25" spans="1:10" x14ac:dyDescent="0.25">
      <c r="A25" s="71" t="s">
        <v>18</v>
      </c>
      <c r="B25" s="70" t="s">
        <v>82</v>
      </c>
      <c r="C25" s="71">
        <v>99261</v>
      </c>
      <c r="D25" s="71" t="s">
        <v>19</v>
      </c>
      <c r="E25" s="71" t="s">
        <v>152</v>
      </c>
      <c r="F25" s="72" t="s">
        <v>112</v>
      </c>
      <c r="G25" s="73">
        <v>41</v>
      </c>
      <c r="H25" s="74">
        <f>IFERROR(VLOOKUP(C25,COMP_COPY!B:G,6,FALSE),"")</f>
        <v>1466.4599999999998</v>
      </c>
      <c r="I25" s="74">
        <f>ROUND(H25*(1+J2/100),2)</f>
        <v>1823.84</v>
      </c>
      <c r="J25" s="74">
        <f>ROUND(I25*G25,2)</f>
        <v>74777.440000000002</v>
      </c>
    </row>
    <row r="26" spans="1:10" x14ac:dyDescent="0.25">
      <c r="A26" s="71" t="s">
        <v>18</v>
      </c>
      <c r="B26" s="70" t="s">
        <v>110</v>
      </c>
      <c r="C26" s="71">
        <v>99282</v>
      </c>
      <c r="D26" s="71" t="s">
        <v>19</v>
      </c>
      <c r="E26" s="71" t="s">
        <v>153</v>
      </c>
      <c r="F26" s="72" t="s">
        <v>112</v>
      </c>
      <c r="G26" s="73">
        <v>32.47</v>
      </c>
      <c r="H26" s="74">
        <f>IFERROR(VLOOKUP(C26,COMP_COPY!B:G,6,FALSE),"")</f>
        <v>2683.2300000000005</v>
      </c>
      <c r="I26" s="74">
        <f>ROUND(H26*(1+J2/100),2)</f>
        <v>3337.13</v>
      </c>
      <c r="J26" s="74">
        <f>ROUND(I26*G26,2)</f>
        <v>108356.61</v>
      </c>
    </row>
    <row r="27" spans="1:10" x14ac:dyDescent="0.25">
      <c r="A27" s="19" t="s">
        <v>16</v>
      </c>
      <c r="B27" s="26" t="s">
        <v>126</v>
      </c>
      <c r="C27" s="19"/>
      <c r="D27" s="19"/>
      <c r="E27" s="19" t="s">
        <v>236</v>
      </c>
      <c r="F27" s="27"/>
      <c r="G27" s="28"/>
      <c r="H27" s="29"/>
      <c r="I27" s="29"/>
      <c r="J27" s="29">
        <f>SUM(J29:J32)</f>
        <v>4667.88</v>
      </c>
    </row>
    <row r="28" spans="1:10" x14ac:dyDescent="0.25">
      <c r="A28" s="25" t="s">
        <v>23</v>
      </c>
      <c r="B28" s="30" t="s">
        <v>127</v>
      </c>
      <c r="C28" s="25"/>
      <c r="D28" s="25"/>
      <c r="E28" s="25" t="s">
        <v>107</v>
      </c>
      <c r="F28" s="31"/>
      <c r="G28" s="32"/>
      <c r="H28" s="33"/>
      <c r="I28" s="33"/>
      <c r="J28" s="33">
        <f>SUM(J29:J32)</f>
        <v>4667.88</v>
      </c>
    </row>
    <row r="29" spans="1:10" x14ac:dyDescent="0.25">
      <c r="A29" s="71" t="s">
        <v>18</v>
      </c>
      <c r="B29" s="70" t="s">
        <v>128</v>
      </c>
      <c r="C29" s="71">
        <v>88310</v>
      </c>
      <c r="D29" s="71" t="s">
        <v>19</v>
      </c>
      <c r="E29" s="71" t="s">
        <v>237</v>
      </c>
      <c r="F29" s="72" t="s">
        <v>26</v>
      </c>
      <c r="G29" s="73">
        <v>33</v>
      </c>
      <c r="H29" s="74">
        <f>IFERROR(VLOOKUP(C29,COMP_COPY!B:G,6,FALSE),"")</f>
        <v>25.919999999999995</v>
      </c>
      <c r="I29" s="74">
        <f>ROUND(H29*(1+J2/100),2)</f>
        <v>32.24</v>
      </c>
      <c r="J29" s="74">
        <f>ROUND(I29*G29,2)</f>
        <v>1063.92</v>
      </c>
    </row>
    <row r="30" spans="1:10" x14ac:dyDescent="0.25">
      <c r="A30" s="71" t="s">
        <v>18</v>
      </c>
      <c r="B30" s="70" t="s">
        <v>129</v>
      </c>
      <c r="C30" s="71">
        <v>97171</v>
      </c>
      <c r="D30" s="71" t="s">
        <v>19</v>
      </c>
      <c r="E30" s="71" t="s">
        <v>240</v>
      </c>
      <c r="F30" s="72" t="s">
        <v>112</v>
      </c>
      <c r="G30" s="73">
        <v>14</v>
      </c>
      <c r="H30" s="74">
        <f>IFERROR(VLOOKUP(C30,COMP_COPY!B:G,6,FALSE),"")</f>
        <v>32.76</v>
      </c>
      <c r="I30" s="74">
        <f>ROUND(H30*(1+J2/100),2)</f>
        <v>40.74</v>
      </c>
      <c r="J30" s="74">
        <f>ROUND(I30*G30,2)</f>
        <v>570.36</v>
      </c>
    </row>
    <row r="31" spans="1:10" x14ac:dyDescent="0.25">
      <c r="A31" s="71" t="s">
        <v>18</v>
      </c>
      <c r="B31" s="70" t="s">
        <v>135</v>
      </c>
      <c r="C31" s="71">
        <v>97162</v>
      </c>
      <c r="D31" s="71" t="s">
        <v>19</v>
      </c>
      <c r="E31" s="71" t="s">
        <v>241</v>
      </c>
      <c r="F31" s="72" t="s">
        <v>112</v>
      </c>
      <c r="G31" s="73">
        <v>256</v>
      </c>
      <c r="H31" s="74">
        <f>IFERROR(VLOOKUP(C31,COMP_COPY!B:G,6,FALSE),"")</f>
        <v>9.5299999999999994</v>
      </c>
      <c r="I31" s="74">
        <f>ROUND(H31*(1+J2/100),2)</f>
        <v>11.85</v>
      </c>
      <c r="J31" s="74">
        <f>ROUND(I31*G31,2)</f>
        <v>3033.6</v>
      </c>
    </row>
    <row r="32" spans="1:10" x14ac:dyDescent="0.25">
      <c r="A32" s="71" t="s">
        <v>18</v>
      </c>
      <c r="B32" s="70" t="s">
        <v>136</v>
      </c>
      <c r="C32" s="71">
        <v>88321</v>
      </c>
      <c r="D32" s="71" t="s">
        <v>19</v>
      </c>
      <c r="E32" s="71" t="s">
        <v>242</v>
      </c>
      <c r="F32" s="72" t="s">
        <v>26</v>
      </c>
      <c r="G32" s="73">
        <v>24</v>
      </c>
      <c r="H32" s="74">
        <f>IFERROR(VLOOKUP(C32,COMP_COPY!B:G,6,FALSE),"")</f>
        <v>0</v>
      </c>
      <c r="I32" s="74">
        <f>ROUND(H32*(1+J2/100),2)</f>
        <v>0</v>
      </c>
      <c r="J32" s="74">
        <f>ROUND(I32*G32,2)</f>
        <v>0</v>
      </c>
    </row>
  </sheetData>
  <dataValidations count="3">
    <dataValidation type="list" allowBlank="1" showDropDown="1" showInputMessage="1" showErrorMessage="1" sqref="D8:D32" xr:uid="{59CDDD40-BC12-41DF-81FA-41D2E2F38177}">
      <formula1>"SINAPI,SINAPI-I,ORSE,SICRO,SEINFRA,CAERN"</formula1>
    </dataValidation>
    <dataValidation type="list" allowBlank="1" showInputMessage="1" showErrorMessage="1" sqref="D8:D32" xr:uid="{03C39285-0096-456F-990B-E38EA1BA0ED5}">
      <formula1>"SINAPI,ORSE,SICRO,SEINFRA,COTAÇÃO,SINAPI-I"</formula1>
    </dataValidation>
    <dataValidation type="list" allowBlank="1" showInputMessage="1" showErrorMessage="1" sqref="A8:A32" xr:uid="{B721C13F-A26D-43C9-B118-3F05D78B1208}">
      <formula1>"1 - CAPÍTULO,2 - SUBCAPÍTULO 1,3 - SUBCAPÍTULO 2,4 - SUBCAPÍTULO 3,5 - SERVIÇO"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tnAjustarValorLicitacao">
              <controlPr defaultSize="0" print="0" autoFill="0" autoPict="0" macro="[0]!AjustarValorLicitacao">
                <anchor moveWithCells="1" sizeWithCells="1">
                  <from>
                    <xdr:col>12</xdr:col>
                    <xdr:colOff>0</xdr:colOff>
                    <xdr:row>4</xdr:row>
                    <xdr:rowOff>0</xdr:rowOff>
                  </from>
                  <to>
                    <xdr:col>14</xdr:col>
                    <xdr:colOff>304800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BFC92-D0A1-4C68-853E-286D31E224CF}">
  <dimension ref="A1:G192"/>
  <sheetViews>
    <sheetView topLeftCell="A175" workbookViewId="0">
      <selection activeCell="A182" sqref="A182:G193"/>
    </sheetView>
  </sheetViews>
  <sheetFormatPr defaultRowHeight="15" x14ac:dyDescent="0.25"/>
  <sheetData>
    <row r="1" spans="1:7" x14ac:dyDescent="0.25">
      <c r="A1" s="38"/>
      <c r="B1" s="38"/>
      <c r="C1" s="38"/>
      <c r="D1" s="34"/>
      <c r="E1" s="50"/>
      <c r="F1" s="44"/>
      <c r="G1" s="44"/>
    </row>
    <row r="2" spans="1:7" x14ac:dyDescent="0.25">
      <c r="A2" s="38"/>
      <c r="B2" s="39" t="s">
        <v>0</v>
      </c>
      <c r="C2" s="39" t="str">
        <f>'PLANILHA ORÇAMENTARIA'!C2</f>
        <v xml:space="preserve">PAVIMENTAÇÃO EM ESTRADAS VICINAIS </v>
      </c>
      <c r="D2" s="37"/>
      <c r="E2" s="51"/>
      <c r="F2" s="45" t="s">
        <v>17</v>
      </c>
      <c r="G2" s="40">
        <f>'PLANILHA ORÇAMENTARIA'!J2</f>
        <v>24.37</v>
      </c>
    </row>
    <row r="3" spans="1:7" x14ac:dyDescent="0.25">
      <c r="A3" s="38"/>
      <c r="B3" s="39" t="s">
        <v>2</v>
      </c>
      <c r="C3" s="39" t="str">
        <f>'PLANILHA ORÇAMENTARIA'!C3</f>
        <v>RAFAEL GODEIRO</v>
      </c>
      <c r="D3" s="37"/>
      <c r="E3" s="51"/>
      <c r="F3" s="45"/>
      <c r="G3" s="45"/>
    </row>
    <row r="4" spans="1:7" x14ac:dyDescent="0.25">
      <c r="A4" s="38"/>
      <c r="B4" s="39" t="s">
        <v>4</v>
      </c>
      <c r="C4" s="54">
        <f>'PLANILHA ORÇAMENTARIA'!C4</f>
        <v>45765</v>
      </c>
      <c r="D4" s="37"/>
      <c r="E4" s="51"/>
      <c r="F4" s="45" t="s">
        <v>5</v>
      </c>
      <c r="G4" s="45" t="str">
        <f>'PLANILHA ORÇAMENTARIA'!J4</f>
        <v>CE01-2025</v>
      </c>
    </row>
    <row r="5" spans="1:7" x14ac:dyDescent="0.25">
      <c r="A5" s="38"/>
      <c r="B5" s="38"/>
      <c r="C5" s="38"/>
      <c r="D5" s="34"/>
      <c r="E5" s="50"/>
      <c r="F5" s="44"/>
      <c r="G5" s="44"/>
    </row>
    <row r="6" spans="1:7" x14ac:dyDescent="0.25">
      <c r="A6" s="38"/>
      <c r="B6" s="38"/>
      <c r="C6" s="38"/>
      <c r="D6" s="34"/>
      <c r="E6" s="50"/>
      <c r="F6" s="44"/>
      <c r="G6" s="44">
        <f>'PLANILHA ORÇAMENTARIA'!J5</f>
        <v>310878.89</v>
      </c>
    </row>
    <row r="7" spans="1:7" x14ac:dyDescent="0.25">
      <c r="A7" s="41"/>
      <c r="B7" s="41"/>
      <c r="C7" s="41"/>
      <c r="D7" s="42"/>
      <c r="E7" s="52"/>
      <c r="F7" s="46"/>
      <c r="G7" s="46"/>
    </row>
    <row r="8" spans="1:7" x14ac:dyDescent="0.25">
      <c r="A8" s="55" t="s">
        <v>7</v>
      </c>
      <c r="B8" s="43" t="s">
        <v>27</v>
      </c>
      <c r="C8" s="55" t="s">
        <v>10</v>
      </c>
      <c r="D8" s="43" t="s">
        <v>28</v>
      </c>
      <c r="E8" s="53" t="s">
        <v>29</v>
      </c>
      <c r="F8" s="47" t="s">
        <v>30</v>
      </c>
      <c r="G8" s="47" t="s">
        <v>31</v>
      </c>
    </row>
    <row r="9" spans="1:7" x14ac:dyDescent="0.25">
      <c r="A9" s="75"/>
      <c r="B9" s="75"/>
      <c r="C9" s="75"/>
      <c r="D9" s="75"/>
      <c r="E9" s="75"/>
      <c r="F9" s="75"/>
      <c r="G9" s="75"/>
    </row>
    <row r="10" spans="1:7" x14ac:dyDescent="0.25">
      <c r="A10" s="76">
        <v>1</v>
      </c>
      <c r="B10" s="76"/>
      <c r="C10" s="76" t="s">
        <v>106</v>
      </c>
      <c r="D10" s="76"/>
      <c r="E10" s="76"/>
      <c r="F10" s="76"/>
      <c r="G10" s="76"/>
    </row>
    <row r="11" spans="1:7" x14ac:dyDescent="0.25">
      <c r="A11" s="77">
        <v>1.1000000000000001</v>
      </c>
      <c r="B11" s="77"/>
      <c r="C11" s="77" t="s">
        <v>107</v>
      </c>
      <c r="D11" s="77"/>
      <c r="E11" s="77"/>
      <c r="F11" s="77"/>
      <c r="G11" s="77"/>
    </row>
    <row r="12" spans="1:7" x14ac:dyDescent="0.25">
      <c r="A12" s="75" t="s">
        <v>22</v>
      </c>
      <c r="B12" s="75">
        <v>88309</v>
      </c>
      <c r="C12" s="75" t="s">
        <v>25</v>
      </c>
      <c r="D12" s="75" t="s">
        <v>26</v>
      </c>
      <c r="E12" s="75"/>
      <c r="F12" s="75"/>
      <c r="G12" s="79">
        <f>SUM(G13:G21)</f>
        <v>23.019999999999996</v>
      </c>
    </row>
    <row r="13" spans="1:7" x14ac:dyDescent="0.25">
      <c r="A13" s="75"/>
      <c r="B13" s="75"/>
      <c r="C13" s="75"/>
      <c r="D13" s="75"/>
      <c r="E13" s="78" t="s">
        <v>60</v>
      </c>
      <c r="F13" s="78" t="s">
        <v>60</v>
      </c>
      <c r="G13" s="79" t="str">
        <f>IF(OR(E13="",F13=""),"",IF(ISERROR(E13*F13),"",TRUNC(E13*F13,2)))</f>
        <v/>
      </c>
    </row>
    <row r="14" spans="1:7" x14ac:dyDescent="0.25">
      <c r="A14" s="75"/>
      <c r="B14" s="75">
        <v>4750</v>
      </c>
      <c r="C14" s="75" t="s">
        <v>44</v>
      </c>
      <c r="D14" s="75" t="s">
        <v>26</v>
      </c>
      <c r="E14" s="78" t="s">
        <v>61</v>
      </c>
      <c r="F14" s="78" t="s">
        <v>62</v>
      </c>
      <c r="G14" s="79">
        <f>IF(OR(E14="",F14=""),"",IF(ISERROR(E14*F14),"",TRUNC(E14*F14,2)))</f>
        <v>16.21</v>
      </c>
    </row>
    <row r="15" spans="1:7" x14ac:dyDescent="0.25">
      <c r="A15" s="75"/>
      <c r="B15" s="75">
        <v>37370</v>
      </c>
      <c r="C15" s="75" t="s">
        <v>39</v>
      </c>
      <c r="D15" s="75" t="s">
        <v>26</v>
      </c>
      <c r="E15" s="78" t="s">
        <v>61</v>
      </c>
      <c r="F15" s="78" t="s">
        <v>63</v>
      </c>
      <c r="G15" s="79">
        <f>IF(OR(E15="",F15=""),"",IF(ISERROR(E15*F15),"",TRUNC(E15*F15,2)))</f>
        <v>2.4</v>
      </c>
    </row>
    <row r="16" spans="1:7" x14ac:dyDescent="0.25">
      <c r="A16" s="75"/>
      <c r="B16" s="75">
        <v>37371</v>
      </c>
      <c r="C16" s="75" t="s">
        <v>40</v>
      </c>
      <c r="D16" s="75" t="s">
        <v>26</v>
      </c>
      <c r="E16" s="78" t="s">
        <v>61</v>
      </c>
      <c r="F16" s="78" t="s">
        <v>64</v>
      </c>
      <c r="G16" s="79">
        <f>IF(OR(E16="",F16=""),"",IF(ISERROR(E16*F16),"",TRUNC(E16*F16,2)))</f>
        <v>0.57999999999999996</v>
      </c>
    </row>
    <row r="17" spans="1:7" x14ac:dyDescent="0.25">
      <c r="A17" s="75"/>
      <c r="B17" s="75">
        <v>37372</v>
      </c>
      <c r="C17" s="75" t="s">
        <v>41</v>
      </c>
      <c r="D17" s="75" t="s">
        <v>26</v>
      </c>
      <c r="E17" s="78" t="s">
        <v>61</v>
      </c>
      <c r="F17" s="78" t="s">
        <v>65</v>
      </c>
      <c r="G17" s="79">
        <f>IF(OR(E17="",F17=""),"",IF(ISERROR(E17*F17),"",TRUNC(E17*F17,2)))</f>
        <v>1.34</v>
      </c>
    </row>
    <row r="18" spans="1:7" x14ac:dyDescent="0.25">
      <c r="A18" s="75"/>
      <c r="B18" s="75">
        <v>37373</v>
      </c>
      <c r="C18" s="75" t="s">
        <v>42</v>
      </c>
      <c r="D18" s="75" t="s">
        <v>26</v>
      </c>
      <c r="E18" s="78" t="s">
        <v>61</v>
      </c>
      <c r="F18" s="78" t="s">
        <v>66</v>
      </c>
      <c r="G18" s="79">
        <f>IF(OR(E18="",F18=""),"",IF(ISERROR(E18*F18),"",TRUNC(E18*F18,2)))</f>
        <v>0.04</v>
      </c>
    </row>
    <row r="19" spans="1:7" x14ac:dyDescent="0.25">
      <c r="A19" s="75"/>
      <c r="B19" s="75">
        <v>43465</v>
      </c>
      <c r="C19" s="75" t="s">
        <v>45</v>
      </c>
      <c r="D19" s="75" t="s">
        <v>26</v>
      </c>
      <c r="E19" s="78" t="s">
        <v>61</v>
      </c>
      <c r="F19" s="78" t="s">
        <v>67</v>
      </c>
      <c r="G19" s="79">
        <f>IF(OR(E19="",F19=""),"",IF(ISERROR(E19*F19),"",TRUNC(E19*F19,2)))</f>
        <v>0.82</v>
      </c>
    </row>
    <row r="20" spans="1:7" x14ac:dyDescent="0.25">
      <c r="A20" s="75"/>
      <c r="B20" s="75">
        <v>43489</v>
      </c>
      <c r="C20" s="75" t="s">
        <v>46</v>
      </c>
      <c r="D20" s="75" t="s">
        <v>26</v>
      </c>
      <c r="E20" s="78" t="s">
        <v>61</v>
      </c>
      <c r="F20" s="78" t="s">
        <v>68</v>
      </c>
      <c r="G20" s="79">
        <f>IF(OR(E20="",F20=""),"",IF(ISERROR(E20*F20),"",TRUNC(E20*F20,2)))</f>
        <v>1.24</v>
      </c>
    </row>
    <row r="21" spans="1:7" x14ac:dyDescent="0.25">
      <c r="A21" s="75"/>
      <c r="B21" s="75">
        <v>95371</v>
      </c>
      <c r="C21" s="75" t="s">
        <v>47</v>
      </c>
      <c r="D21" s="75" t="s">
        <v>26</v>
      </c>
      <c r="E21" s="78" t="s">
        <v>61</v>
      </c>
      <c r="F21" s="78" t="s">
        <v>69</v>
      </c>
      <c r="G21" s="79">
        <f>IF(OR(E21="",F21=""),"",IF(ISERROR(E21*F21),"",TRUNC(E21*F21,2)))</f>
        <v>0.39</v>
      </c>
    </row>
    <row r="22" spans="1:7" x14ac:dyDescent="0.25">
      <c r="A22" s="75"/>
      <c r="B22" s="75"/>
      <c r="C22" s="75"/>
      <c r="D22" s="75"/>
      <c r="E22" s="75"/>
      <c r="F22" s="75" t="s">
        <v>105</v>
      </c>
      <c r="G22" s="79">
        <f>TRUNC(G12 * ('PLANILHA ORÇAMENTARIA'!J2/100), 2)</f>
        <v>5.6</v>
      </c>
    </row>
    <row r="23" spans="1:7" x14ac:dyDescent="0.25">
      <c r="A23" s="80"/>
      <c r="B23" s="80"/>
      <c r="C23" s="80"/>
      <c r="D23" s="80" t="s">
        <v>43</v>
      </c>
      <c r="E23" s="80"/>
      <c r="F23" s="80"/>
      <c r="G23" s="81">
        <f>TRUNC(G12 + G22, 2)</f>
        <v>28.62</v>
      </c>
    </row>
    <row r="24" spans="1:7" x14ac:dyDescent="0.25">
      <c r="A24" s="75" t="s">
        <v>24</v>
      </c>
      <c r="B24" s="75">
        <v>88316</v>
      </c>
      <c r="C24" s="75" t="s">
        <v>50</v>
      </c>
      <c r="D24" s="75" t="s">
        <v>26</v>
      </c>
      <c r="E24" s="75"/>
      <c r="F24" s="75"/>
      <c r="G24" s="79">
        <f>SUM(G25:G33)</f>
        <v>18.729999999999997</v>
      </c>
    </row>
    <row r="25" spans="1:7" x14ac:dyDescent="0.25">
      <c r="A25" s="75"/>
      <c r="B25" s="75"/>
      <c r="C25" s="75"/>
      <c r="D25" s="75"/>
      <c r="E25" s="78" t="s">
        <v>60</v>
      </c>
      <c r="F25" s="78" t="s">
        <v>60</v>
      </c>
      <c r="G25" s="79" t="str">
        <f>IF(OR(E25="",F25=""),"",IF(ISERROR(E25*F25),"",TRUNC(E25*F25,2)))</f>
        <v/>
      </c>
    </row>
    <row r="26" spans="1:7" x14ac:dyDescent="0.25">
      <c r="A26" s="75"/>
      <c r="B26" s="75">
        <v>6111</v>
      </c>
      <c r="C26" s="75" t="s">
        <v>93</v>
      </c>
      <c r="D26" s="75" t="s">
        <v>26</v>
      </c>
      <c r="E26" s="78" t="s">
        <v>61</v>
      </c>
      <c r="F26" s="78" t="s">
        <v>94</v>
      </c>
      <c r="G26" s="79">
        <f>IF(OR(E26="",F26=""),"",IF(ISERROR(E26*F26),"",TRUNC(E26*F26,2)))</f>
        <v>12.14</v>
      </c>
    </row>
    <row r="27" spans="1:7" x14ac:dyDescent="0.25">
      <c r="A27" s="75"/>
      <c r="B27" s="75">
        <v>37370</v>
      </c>
      <c r="C27" s="75" t="s">
        <v>39</v>
      </c>
      <c r="D27" s="75" t="s">
        <v>26</v>
      </c>
      <c r="E27" s="78" t="s">
        <v>61</v>
      </c>
      <c r="F27" s="78" t="s">
        <v>63</v>
      </c>
      <c r="G27" s="79">
        <f>IF(OR(E27="",F27=""),"",IF(ISERROR(E27*F27),"",TRUNC(E27*F27,2)))</f>
        <v>2.4</v>
      </c>
    </row>
    <row r="28" spans="1:7" x14ac:dyDescent="0.25">
      <c r="A28" s="75"/>
      <c r="B28" s="75">
        <v>37371</v>
      </c>
      <c r="C28" s="75" t="s">
        <v>40</v>
      </c>
      <c r="D28" s="75" t="s">
        <v>26</v>
      </c>
      <c r="E28" s="78" t="s">
        <v>61</v>
      </c>
      <c r="F28" s="78" t="s">
        <v>64</v>
      </c>
      <c r="G28" s="79">
        <f>IF(OR(E28="",F28=""),"",IF(ISERROR(E28*F28),"",TRUNC(E28*F28,2)))</f>
        <v>0.57999999999999996</v>
      </c>
    </row>
    <row r="29" spans="1:7" x14ac:dyDescent="0.25">
      <c r="A29" s="75"/>
      <c r="B29" s="75">
        <v>37372</v>
      </c>
      <c r="C29" s="75" t="s">
        <v>41</v>
      </c>
      <c r="D29" s="75" t="s">
        <v>26</v>
      </c>
      <c r="E29" s="78" t="s">
        <v>61</v>
      </c>
      <c r="F29" s="78" t="s">
        <v>65</v>
      </c>
      <c r="G29" s="79">
        <f>IF(OR(E29="",F29=""),"",IF(ISERROR(E29*F29),"",TRUNC(E29*F29,2)))</f>
        <v>1.34</v>
      </c>
    </row>
    <row r="30" spans="1:7" x14ac:dyDescent="0.25">
      <c r="A30" s="75"/>
      <c r="B30" s="75">
        <v>37373</v>
      </c>
      <c r="C30" s="75" t="s">
        <v>42</v>
      </c>
      <c r="D30" s="75" t="s">
        <v>26</v>
      </c>
      <c r="E30" s="78" t="s">
        <v>61</v>
      </c>
      <c r="F30" s="78" t="s">
        <v>66</v>
      </c>
      <c r="G30" s="79">
        <f>IF(OR(E30="",F30=""),"",IF(ISERROR(E30*F30),"",TRUNC(E30*F30,2)))</f>
        <v>0.04</v>
      </c>
    </row>
    <row r="31" spans="1:7" x14ac:dyDescent="0.25">
      <c r="A31" s="75"/>
      <c r="B31" s="75">
        <v>43467</v>
      </c>
      <c r="C31" s="75" t="s">
        <v>95</v>
      </c>
      <c r="D31" s="75" t="s">
        <v>26</v>
      </c>
      <c r="E31" s="78" t="s">
        <v>61</v>
      </c>
      <c r="F31" s="78" t="s">
        <v>96</v>
      </c>
      <c r="G31" s="79">
        <f>IF(OR(E31="",F31=""),"",IF(ISERROR(E31*F31),"",TRUNC(E31*F31,2)))</f>
        <v>0.61</v>
      </c>
    </row>
    <row r="32" spans="1:7" x14ac:dyDescent="0.25">
      <c r="A32" s="75"/>
      <c r="B32" s="75">
        <v>43491</v>
      </c>
      <c r="C32" s="75" t="s">
        <v>97</v>
      </c>
      <c r="D32" s="75" t="s">
        <v>26</v>
      </c>
      <c r="E32" s="78" t="s">
        <v>61</v>
      </c>
      <c r="F32" s="78" t="s">
        <v>98</v>
      </c>
      <c r="G32" s="79">
        <f>IF(OR(E32="",F32=""),"",IF(ISERROR(E32*F32),"",TRUNC(E32*F32,2)))</f>
        <v>1.33</v>
      </c>
    </row>
    <row r="33" spans="1:7" x14ac:dyDescent="0.25">
      <c r="A33" s="75"/>
      <c r="B33" s="75">
        <v>95378</v>
      </c>
      <c r="C33" s="75" t="s">
        <v>99</v>
      </c>
      <c r="D33" s="75" t="s">
        <v>26</v>
      </c>
      <c r="E33" s="78" t="s">
        <v>61</v>
      </c>
      <c r="F33" s="78" t="s">
        <v>80</v>
      </c>
      <c r="G33" s="79">
        <f>IF(OR(E33="",F33=""),"",IF(ISERROR(E33*F33),"",TRUNC(E33*F33,2)))</f>
        <v>0.28999999999999998</v>
      </c>
    </row>
    <row r="34" spans="1:7" x14ac:dyDescent="0.25">
      <c r="A34" s="75"/>
      <c r="B34" s="75"/>
      <c r="C34" s="75"/>
      <c r="D34" s="75"/>
      <c r="E34" s="75"/>
      <c r="F34" s="75" t="s">
        <v>105</v>
      </c>
      <c r="G34" s="79">
        <f>TRUNC(G24 * ('PLANILHA ORÇAMENTARIA'!J2/100), 2)</f>
        <v>4.5599999999999996</v>
      </c>
    </row>
    <row r="35" spans="1:7" x14ac:dyDescent="0.25">
      <c r="A35" s="80"/>
      <c r="B35" s="80"/>
      <c r="C35" s="80"/>
      <c r="D35" s="80" t="s">
        <v>43</v>
      </c>
      <c r="E35" s="80"/>
      <c r="F35" s="80"/>
      <c r="G35" s="81">
        <f>TRUNC(G24 + G34, 2)</f>
        <v>23.29</v>
      </c>
    </row>
    <row r="36" spans="1:7" x14ac:dyDescent="0.25">
      <c r="A36" s="75" t="s">
        <v>137</v>
      </c>
      <c r="B36" s="75">
        <v>88404</v>
      </c>
      <c r="C36" s="75" t="s">
        <v>148</v>
      </c>
      <c r="D36" s="75" t="s">
        <v>49</v>
      </c>
      <c r="E36" s="75"/>
      <c r="F36" s="75"/>
      <c r="G36" s="79">
        <f>SUM(G37:G39)</f>
        <v>0.93</v>
      </c>
    </row>
    <row r="37" spans="1:7" x14ac:dyDescent="0.25">
      <c r="A37" s="75"/>
      <c r="B37" s="75"/>
      <c r="C37" s="75"/>
      <c r="D37" s="75"/>
      <c r="E37" s="78" t="s">
        <v>60</v>
      </c>
      <c r="F37" s="78" t="s">
        <v>60</v>
      </c>
      <c r="G37" s="79" t="str">
        <f>IF(OR(E37="",F37=""),"",IF(ISERROR(E37*F37),"",TRUNC(E37*F37,2)))</f>
        <v/>
      </c>
    </row>
    <row r="38" spans="1:7" x14ac:dyDescent="0.25">
      <c r="A38" s="75"/>
      <c r="B38" s="75">
        <v>88400</v>
      </c>
      <c r="C38" s="75" t="s">
        <v>154</v>
      </c>
      <c r="D38" s="75" t="s">
        <v>26</v>
      </c>
      <c r="E38" s="78" t="s">
        <v>61</v>
      </c>
      <c r="F38" s="78" t="s">
        <v>155</v>
      </c>
      <c r="G38" s="79">
        <f>IF(OR(E38="",F38=""),"",IF(ISERROR(E38*F38),"",TRUNC(E38*F38,2)))</f>
        <v>0.76</v>
      </c>
    </row>
    <row r="39" spans="1:7" x14ac:dyDescent="0.25">
      <c r="A39" s="75"/>
      <c r="B39" s="75">
        <v>88401</v>
      </c>
      <c r="C39" s="75" t="s">
        <v>156</v>
      </c>
      <c r="D39" s="75" t="s">
        <v>26</v>
      </c>
      <c r="E39" s="78" t="s">
        <v>61</v>
      </c>
      <c r="F39" s="78" t="s">
        <v>157</v>
      </c>
      <c r="G39" s="79">
        <f>IF(OR(E39="",F39=""),"",IF(ISERROR(E39*F39),"",TRUNC(E39*F39,2)))</f>
        <v>0.17</v>
      </c>
    </row>
    <row r="40" spans="1:7" x14ac:dyDescent="0.25">
      <c r="A40" s="75"/>
      <c r="B40" s="75"/>
      <c r="C40" s="75"/>
      <c r="D40" s="75"/>
      <c r="E40" s="75"/>
      <c r="F40" s="75" t="s">
        <v>105</v>
      </c>
      <c r="G40" s="79">
        <f>TRUNC(G36 * ('PLANILHA ORÇAMENTARIA'!J2/100), 2)</f>
        <v>0.22</v>
      </c>
    </row>
    <row r="41" spans="1:7" x14ac:dyDescent="0.25">
      <c r="A41" s="80"/>
      <c r="B41" s="80"/>
      <c r="C41" s="80"/>
      <c r="D41" s="80" t="s">
        <v>43</v>
      </c>
      <c r="E41" s="80"/>
      <c r="F41" s="80"/>
      <c r="G41" s="81">
        <f>TRUNC(G36 + G40, 2)</f>
        <v>1.1499999999999999</v>
      </c>
    </row>
    <row r="42" spans="1:7" x14ac:dyDescent="0.25">
      <c r="A42" s="75" t="s">
        <v>138</v>
      </c>
      <c r="B42" s="75">
        <v>97141</v>
      </c>
      <c r="C42" s="75" t="s">
        <v>111</v>
      </c>
      <c r="D42" s="75" t="s">
        <v>112</v>
      </c>
      <c r="E42" s="75"/>
      <c r="F42" s="75"/>
      <c r="G42" s="79">
        <f>SUM(G43:G48)</f>
        <v>4.55</v>
      </c>
    </row>
    <row r="43" spans="1:7" x14ac:dyDescent="0.25">
      <c r="A43" s="75"/>
      <c r="B43" s="75"/>
      <c r="C43" s="75"/>
      <c r="D43" s="75"/>
      <c r="E43" s="78" t="s">
        <v>60</v>
      </c>
      <c r="F43" s="78" t="s">
        <v>60</v>
      </c>
      <c r="G43" s="79" t="str">
        <f>IF(OR(E43="",F43=""),"",IF(ISERROR(E43*F43),"",TRUNC(E43*F43,2)))</f>
        <v/>
      </c>
    </row>
    <row r="44" spans="1:7" x14ac:dyDescent="0.25">
      <c r="A44" s="75"/>
      <c r="B44" s="75">
        <v>5678</v>
      </c>
      <c r="C44" s="75" t="s">
        <v>113</v>
      </c>
      <c r="D44" s="75" t="s">
        <v>48</v>
      </c>
      <c r="E44" s="78" t="s">
        <v>114</v>
      </c>
      <c r="F44" s="78" t="s">
        <v>115</v>
      </c>
      <c r="G44" s="79">
        <f>IF(OR(E44="",F44=""),"",IF(ISERROR(E44*F44),"",TRUNC(E44*F44,2)))</f>
        <v>0.93</v>
      </c>
    </row>
    <row r="45" spans="1:7" x14ac:dyDescent="0.25">
      <c r="A45" s="75"/>
      <c r="B45" s="75">
        <v>5679</v>
      </c>
      <c r="C45" s="75" t="s">
        <v>116</v>
      </c>
      <c r="D45" s="75" t="s">
        <v>49</v>
      </c>
      <c r="E45" s="78" t="s">
        <v>117</v>
      </c>
      <c r="F45" s="78" t="s">
        <v>118</v>
      </c>
      <c r="G45" s="79">
        <f>IF(OR(E45="",F45=""),"",IF(ISERROR(E45*F45),"",TRUNC(E45*F45,2)))</f>
        <v>1.95</v>
      </c>
    </row>
    <row r="46" spans="1:7" x14ac:dyDescent="0.25">
      <c r="A46" s="75"/>
      <c r="B46" s="75">
        <v>20078</v>
      </c>
      <c r="C46" s="75" t="s">
        <v>119</v>
      </c>
      <c r="D46" s="75" t="s">
        <v>32</v>
      </c>
      <c r="E46" s="78" t="s">
        <v>120</v>
      </c>
      <c r="F46" s="78" t="s">
        <v>121</v>
      </c>
      <c r="G46" s="79">
        <f>IF(OR(E46="",F46=""),"",IF(ISERROR(E46*F46),"",TRUNC(E46*F46,2)))</f>
        <v>0.1</v>
      </c>
    </row>
    <row r="47" spans="1:7" x14ac:dyDescent="0.25">
      <c r="A47" s="75"/>
      <c r="B47" s="75">
        <v>88246</v>
      </c>
      <c r="C47" s="75" t="s">
        <v>122</v>
      </c>
      <c r="D47" s="75" t="s">
        <v>26</v>
      </c>
      <c r="E47" s="78" t="s">
        <v>123</v>
      </c>
      <c r="F47" s="78" t="s">
        <v>124</v>
      </c>
      <c r="G47" s="79">
        <f>IF(OR(E47="",F47=""),"",IF(ISERROR(E47*F47),"",TRUNC(E47*F47,2)))</f>
        <v>0.98</v>
      </c>
    </row>
    <row r="48" spans="1:7" x14ac:dyDescent="0.25">
      <c r="A48" s="75"/>
      <c r="B48" s="75">
        <v>88316</v>
      </c>
      <c r="C48" s="75" t="s">
        <v>50</v>
      </c>
      <c r="D48" s="75" t="s">
        <v>26</v>
      </c>
      <c r="E48" s="78" t="s">
        <v>125</v>
      </c>
      <c r="F48" s="78" t="s">
        <v>70</v>
      </c>
      <c r="G48" s="79">
        <f>IF(OR(E48="",F48=""),"",IF(ISERROR(E48*F48),"",TRUNC(E48*F48,2)))</f>
        <v>0.59</v>
      </c>
    </row>
    <row r="49" spans="1:7" x14ac:dyDescent="0.25">
      <c r="A49" s="75"/>
      <c r="B49" s="75"/>
      <c r="C49" s="75"/>
      <c r="D49" s="75"/>
      <c r="E49" s="75"/>
      <c r="F49" s="75" t="s">
        <v>105</v>
      </c>
      <c r="G49" s="79">
        <f>TRUNC(G42 * ('PLANILHA ORÇAMENTARIA'!J2/100), 2)</f>
        <v>1.1000000000000001</v>
      </c>
    </row>
    <row r="50" spans="1:7" x14ac:dyDescent="0.25">
      <c r="A50" s="80"/>
      <c r="B50" s="80"/>
      <c r="C50" s="80"/>
      <c r="D50" s="80" t="s">
        <v>43</v>
      </c>
      <c r="E50" s="80"/>
      <c r="F50" s="80"/>
      <c r="G50" s="81">
        <f>TRUNC(G42 + G49, 2)</f>
        <v>5.65</v>
      </c>
    </row>
    <row r="51" spans="1:7" x14ac:dyDescent="0.25">
      <c r="A51" s="75" t="s">
        <v>139</v>
      </c>
      <c r="B51" s="75">
        <v>88262</v>
      </c>
      <c r="C51" s="75" t="s">
        <v>140</v>
      </c>
      <c r="D51" s="75" t="s">
        <v>26</v>
      </c>
      <c r="E51" s="75"/>
      <c r="F51" s="75"/>
      <c r="G51" s="79">
        <f>SUM(G52:G60)</f>
        <v>22.699999999999996</v>
      </c>
    </row>
    <row r="52" spans="1:7" x14ac:dyDescent="0.25">
      <c r="A52" s="75"/>
      <c r="B52" s="75"/>
      <c r="C52" s="75"/>
      <c r="D52" s="75"/>
      <c r="E52" s="78" t="s">
        <v>60</v>
      </c>
      <c r="F52" s="78" t="s">
        <v>60</v>
      </c>
      <c r="G52" s="79" t="str">
        <f>IF(OR(E52="",F52=""),"",IF(ISERROR(E52*F52),"",TRUNC(E52*F52,2)))</f>
        <v/>
      </c>
    </row>
    <row r="53" spans="1:7" x14ac:dyDescent="0.25">
      <c r="A53" s="75"/>
      <c r="B53" s="75">
        <v>1213</v>
      </c>
      <c r="C53" s="75" t="s">
        <v>141</v>
      </c>
      <c r="D53" s="75" t="s">
        <v>26</v>
      </c>
      <c r="E53" s="78" t="s">
        <v>61</v>
      </c>
      <c r="F53" s="78" t="s">
        <v>62</v>
      </c>
      <c r="G53" s="79">
        <f>IF(OR(E53="",F53=""),"",IF(ISERROR(E53*F53),"",TRUNC(E53*F53,2)))</f>
        <v>16.21</v>
      </c>
    </row>
    <row r="54" spans="1:7" x14ac:dyDescent="0.25">
      <c r="A54" s="75"/>
      <c r="B54" s="75">
        <v>37370</v>
      </c>
      <c r="C54" s="75" t="s">
        <v>39</v>
      </c>
      <c r="D54" s="75" t="s">
        <v>26</v>
      </c>
      <c r="E54" s="78" t="s">
        <v>61</v>
      </c>
      <c r="F54" s="78" t="s">
        <v>63</v>
      </c>
      <c r="G54" s="79">
        <f>IF(OR(E54="",F54=""),"",IF(ISERROR(E54*F54),"",TRUNC(E54*F54,2)))</f>
        <v>2.4</v>
      </c>
    </row>
    <row r="55" spans="1:7" x14ac:dyDescent="0.25">
      <c r="A55" s="75"/>
      <c r="B55" s="75">
        <v>37371</v>
      </c>
      <c r="C55" s="75" t="s">
        <v>40</v>
      </c>
      <c r="D55" s="75" t="s">
        <v>26</v>
      </c>
      <c r="E55" s="78" t="s">
        <v>61</v>
      </c>
      <c r="F55" s="78" t="s">
        <v>64</v>
      </c>
      <c r="G55" s="79">
        <f>IF(OR(E55="",F55=""),"",IF(ISERROR(E55*F55),"",TRUNC(E55*F55,2)))</f>
        <v>0.57999999999999996</v>
      </c>
    </row>
    <row r="56" spans="1:7" x14ac:dyDescent="0.25">
      <c r="A56" s="75"/>
      <c r="B56" s="75">
        <v>37372</v>
      </c>
      <c r="C56" s="75" t="s">
        <v>41</v>
      </c>
      <c r="D56" s="75" t="s">
        <v>26</v>
      </c>
      <c r="E56" s="78" t="s">
        <v>61</v>
      </c>
      <c r="F56" s="78" t="s">
        <v>65</v>
      </c>
      <c r="G56" s="79">
        <f>IF(OR(E56="",F56=""),"",IF(ISERROR(E56*F56),"",TRUNC(E56*F56,2)))</f>
        <v>1.34</v>
      </c>
    </row>
    <row r="57" spans="1:7" x14ac:dyDescent="0.25">
      <c r="A57" s="75"/>
      <c r="B57" s="75">
        <v>37373</v>
      </c>
      <c r="C57" s="75" t="s">
        <v>42</v>
      </c>
      <c r="D57" s="75" t="s">
        <v>26</v>
      </c>
      <c r="E57" s="78" t="s">
        <v>61</v>
      </c>
      <c r="F57" s="78" t="s">
        <v>66</v>
      </c>
      <c r="G57" s="79">
        <f>IF(OR(E57="",F57=""),"",IF(ISERROR(E57*F57),"",TRUNC(E57*F57,2)))</f>
        <v>0.04</v>
      </c>
    </row>
    <row r="58" spans="1:7" x14ac:dyDescent="0.25">
      <c r="A58" s="75"/>
      <c r="B58" s="75">
        <v>43459</v>
      </c>
      <c r="C58" s="75" t="s">
        <v>142</v>
      </c>
      <c r="D58" s="75" t="s">
        <v>26</v>
      </c>
      <c r="E58" s="78" t="s">
        <v>61</v>
      </c>
      <c r="F58" s="78" t="s">
        <v>143</v>
      </c>
      <c r="G58" s="79">
        <f>IF(OR(E58="",F58=""),"",IF(ISERROR(E58*F58),"",TRUNC(E58*F58,2)))</f>
        <v>0.49</v>
      </c>
    </row>
    <row r="59" spans="1:7" x14ac:dyDescent="0.25">
      <c r="A59" s="75"/>
      <c r="B59" s="75">
        <v>43483</v>
      </c>
      <c r="C59" s="75" t="s">
        <v>144</v>
      </c>
      <c r="D59" s="75" t="s">
        <v>26</v>
      </c>
      <c r="E59" s="78" t="s">
        <v>61</v>
      </c>
      <c r="F59" s="78" t="s">
        <v>145</v>
      </c>
      <c r="G59" s="79">
        <f>IF(OR(E59="",F59=""),"",IF(ISERROR(E59*F59),"",TRUNC(E59*F59,2)))</f>
        <v>1.43</v>
      </c>
    </row>
    <row r="60" spans="1:7" x14ac:dyDescent="0.25">
      <c r="A60" s="75"/>
      <c r="B60" s="75">
        <v>95330</v>
      </c>
      <c r="C60" s="75" t="s">
        <v>146</v>
      </c>
      <c r="D60" s="75" t="s">
        <v>26</v>
      </c>
      <c r="E60" s="78" t="s">
        <v>61</v>
      </c>
      <c r="F60" s="78" t="s">
        <v>147</v>
      </c>
      <c r="G60" s="79">
        <f>IF(OR(E60="",F60=""),"",IF(ISERROR(E60*F60),"",TRUNC(E60*F60,2)))</f>
        <v>0.21</v>
      </c>
    </row>
    <row r="61" spans="1:7" x14ac:dyDescent="0.25">
      <c r="A61" s="75"/>
      <c r="B61" s="75"/>
      <c r="C61" s="75"/>
      <c r="D61" s="75"/>
      <c r="E61" s="75"/>
      <c r="F61" s="75" t="s">
        <v>105</v>
      </c>
      <c r="G61" s="79">
        <f>TRUNC(G51 * ('PLANILHA ORÇAMENTARIA'!J2/100), 2)</f>
        <v>5.53</v>
      </c>
    </row>
    <row r="62" spans="1:7" x14ac:dyDescent="0.25">
      <c r="A62" s="80"/>
      <c r="B62" s="80"/>
      <c r="C62" s="80"/>
      <c r="D62" s="80" t="s">
        <v>43</v>
      </c>
      <c r="E62" s="80"/>
      <c r="F62" s="80"/>
      <c r="G62" s="81">
        <f>TRUNC(G51 + G61, 2)</f>
        <v>28.23</v>
      </c>
    </row>
    <row r="63" spans="1:7" x14ac:dyDescent="0.25">
      <c r="A63" s="76">
        <v>2</v>
      </c>
      <c r="B63" s="76"/>
      <c r="C63" s="76" t="s">
        <v>235</v>
      </c>
      <c r="D63" s="76"/>
      <c r="E63" s="76"/>
      <c r="F63" s="76"/>
      <c r="G63" s="76"/>
    </row>
    <row r="64" spans="1:7" x14ac:dyDescent="0.25">
      <c r="A64" s="77">
        <v>2.1</v>
      </c>
      <c r="B64" s="77"/>
      <c r="C64" s="77" t="s">
        <v>107</v>
      </c>
      <c r="D64" s="77"/>
      <c r="E64" s="77"/>
      <c r="F64" s="77"/>
      <c r="G64" s="77"/>
    </row>
    <row r="65" spans="1:7" x14ac:dyDescent="0.25">
      <c r="A65" s="75" t="s">
        <v>100</v>
      </c>
      <c r="B65" s="75">
        <v>88311</v>
      </c>
      <c r="C65" s="75" t="s">
        <v>130</v>
      </c>
      <c r="D65" s="75" t="s">
        <v>26</v>
      </c>
      <c r="E65" s="75"/>
      <c r="F65" s="75"/>
      <c r="G65" s="79">
        <f>SUM(G66:G74)</f>
        <v>25.389999999999997</v>
      </c>
    </row>
    <row r="66" spans="1:7" x14ac:dyDescent="0.25">
      <c r="A66" s="75"/>
      <c r="B66" s="75"/>
      <c r="C66" s="75"/>
      <c r="D66" s="75"/>
      <c r="E66" s="78" t="s">
        <v>60</v>
      </c>
      <c r="F66" s="78" t="s">
        <v>60</v>
      </c>
      <c r="G66" s="79" t="str">
        <f>IF(OR(E66="",F66=""),"",IF(ISERROR(E66*F66),"",TRUNC(E66*F66,2)))</f>
        <v/>
      </c>
    </row>
    <row r="67" spans="1:7" x14ac:dyDescent="0.25">
      <c r="A67" s="75"/>
      <c r="B67" s="75">
        <v>12874</v>
      </c>
      <c r="C67" s="75" t="s">
        <v>131</v>
      </c>
      <c r="D67" s="75" t="s">
        <v>26</v>
      </c>
      <c r="E67" s="78" t="s">
        <v>61</v>
      </c>
      <c r="F67" s="78" t="s">
        <v>132</v>
      </c>
      <c r="G67" s="79">
        <f>IF(OR(E67="",F67=""),"",IF(ISERROR(E67*F67),"",TRUNC(E67*F67,2)))</f>
        <v>17.05</v>
      </c>
    </row>
    <row r="68" spans="1:7" x14ac:dyDescent="0.25">
      <c r="A68" s="75"/>
      <c r="B68" s="75">
        <v>37370</v>
      </c>
      <c r="C68" s="75" t="s">
        <v>39</v>
      </c>
      <c r="D68" s="75" t="s">
        <v>26</v>
      </c>
      <c r="E68" s="78" t="s">
        <v>61</v>
      </c>
      <c r="F68" s="78" t="s">
        <v>63</v>
      </c>
      <c r="G68" s="79">
        <f>IF(OR(E68="",F68=""),"",IF(ISERROR(E68*F68),"",TRUNC(E68*F68,2)))</f>
        <v>2.4</v>
      </c>
    </row>
    <row r="69" spans="1:7" x14ac:dyDescent="0.25">
      <c r="A69" s="75"/>
      <c r="B69" s="75">
        <v>37371</v>
      </c>
      <c r="C69" s="75" t="s">
        <v>40</v>
      </c>
      <c r="D69" s="75" t="s">
        <v>26</v>
      </c>
      <c r="E69" s="78" t="s">
        <v>61</v>
      </c>
      <c r="F69" s="78" t="s">
        <v>64</v>
      </c>
      <c r="G69" s="79">
        <f>IF(OR(E69="",F69=""),"",IF(ISERROR(E69*F69),"",TRUNC(E69*F69,2)))</f>
        <v>0.57999999999999996</v>
      </c>
    </row>
    <row r="70" spans="1:7" x14ac:dyDescent="0.25">
      <c r="A70" s="75"/>
      <c r="B70" s="75">
        <v>37372</v>
      </c>
      <c r="C70" s="75" t="s">
        <v>41</v>
      </c>
      <c r="D70" s="75" t="s">
        <v>26</v>
      </c>
      <c r="E70" s="78" t="s">
        <v>61</v>
      </c>
      <c r="F70" s="78" t="s">
        <v>65</v>
      </c>
      <c r="G70" s="79">
        <f>IF(OR(E70="",F70=""),"",IF(ISERROR(E70*F70),"",TRUNC(E70*F70,2)))</f>
        <v>1.34</v>
      </c>
    </row>
    <row r="71" spans="1:7" x14ac:dyDescent="0.25">
      <c r="A71" s="75"/>
      <c r="B71" s="75">
        <v>37373</v>
      </c>
      <c r="C71" s="75" t="s">
        <v>42</v>
      </c>
      <c r="D71" s="75" t="s">
        <v>26</v>
      </c>
      <c r="E71" s="78" t="s">
        <v>61</v>
      </c>
      <c r="F71" s="78" t="s">
        <v>66</v>
      </c>
      <c r="G71" s="79">
        <f>IF(OR(E71="",F71=""),"",IF(ISERROR(E71*F71),"",TRUNC(E71*F71,2)))</f>
        <v>0.04</v>
      </c>
    </row>
    <row r="72" spans="1:7" x14ac:dyDescent="0.25">
      <c r="A72" s="75"/>
      <c r="B72" s="75">
        <v>43466</v>
      </c>
      <c r="C72" s="75" t="s">
        <v>56</v>
      </c>
      <c r="D72" s="75" t="s">
        <v>26</v>
      </c>
      <c r="E72" s="78" t="s">
        <v>61</v>
      </c>
      <c r="F72" s="78" t="s">
        <v>78</v>
      </c>
      <c r="G72" s="79">
        <f>IF(OR(E72="",F72=""),"",IF(ISERROR(E72*F72),"",TRUNC(E72*F72,2)))</f>
        <v>1.97</v>
      </c>
    </row>
    <row r="73" spans="1:7" x14ac:dyDescent="0.25">
      <c r="A73" s="75"/>
      <c r="B73" s="75">
        <v>43490</v>
      </c>
      <c r="C73" s="75" t="s">
        <v>57</v>
      </c>
      <c r="D73" s="75" t="s">
        <v>26</v>
      </c>
      <c r="E73" s="78" t="s">
        <v>61</v>
      </c>
      <c r="F73" s="78" t="s">
        <v>79</v>
      </c>
      <c r="G73" s="79">
        <f>IF(OR(E73="",F73=""),"",IF(ISERROR(E73*F73),"",TRUNC(E73*F73,2)))</f>
        <v>1.73</v>
      </c>
    </row>
    <row r="74" spans="1:7" x14ac:dyDescent="0.25">
      <c r="A74" s="75"/>
      <c r="B74" s="75">
        <v>95373</v>
      </c>
      <c r="C74" s="75" t="s">
        <v>133</v>
      </c>
      <c r="D74" s="75" t="s">
        <v>26</v>
      </c>
      <c r="E74" s="78" t="s">
        <v>61</v>
      </c>
      <c r="F74" s="78" t="s">
        <v>134</v>
      </c>
      <c r="G74" s="79">
        <f>IF(OR(E74="",F74=""),"",IF(ISERROR(E74*F74),"",TRUNC(E74*F74,2)))</f>
        <v>0.28000000000000003</v>
      </c>
    </row>
    <row r="75" spans="1:7" x14ac:dyDescent="0.25">
      <c r="A75" s="75"/>
      <c r="B75" s="75"/>
      <c r="C75" s="75"/>
      <c r="D75" s="75"/>
      <c r="E75" s="75"/>
      <c r="F75" s="75" t="s">
        <v>105</v>
      </c>
      <c r="G75" s="79">
        <f>TRUNC(G65 * ('PLANILHA ORÇAMENTARIA'!J2/100), 2)</f>
        <v>6.18</v>
      </c>
    </row>
    <row r="76" spans="1:7" x14ac:dyDescent="0.25">
      <c r="A76" s="80"/>
      <c r="B76" s="80"/>
      <c r="C76" s="80"/>
      <c r="D76" s="80" t="s">
        <v>43</v>
      </c>
      <c r="E76" s="80"/>
      <c r="F76" s="80"/>
      <c r="G76" s="81">
        <f>TRUNC(G65 + G75, 2)</f>
        <v>31.57</v>
      </c>
    </row>
    <row r="77" spans="1:7" x14ac:dyDescent="0.25">
      <c r="A77" s="75" t="s">
        <v>101</v>
      </c>
      <c r="B77" s="75">
        <v>97142</v>
      </c>
      <c r="C77" s="75" t="s">
        <v>149</v>
      </c>
      <c r="D77" s="75" t="s">
        <v>112</v>
      </c>
      <c r="E77" s="75"/>
      <c r="F77" s="75"/>
      <c r="G77" s="79">
        <f>SUM(G78:G83)</f>
        <v>5.24</v>
      </c>
    </row>
    <row r="78" spans="1:7" x14ac:dyDescent="0.25">
      <c r="A78" s="75"/>
      <c r="B78" s="75"/>
      <c r="C78" s="75"/>
      <c r="D78" s="75"/>
      <c r="E78" s="78" t="s">
        <v>60</v>
      </c>
      <c r="F78" s="78" t="s">
        <v>60</v>
      </c>
      <c r="G78" s="79" t="str">
        <f>IF(OR(E78="",F78=""),"",IF(ISERROR(E78*F78),"",TRUNC(E78*F78,2)))</f>
        <v/>
      </c>
    </row>
    <row r="79" spans="1:7" x14ac:dyDescent="0.25">
      <c r="A79" s="75"/>
      <c r="B79" s="75">
        <v>5678</v>
      </c>
      <c r="C79" s="75" t="s">
        <v>113</v>
      </c>
      <c r="D79" s="75" t="s">
        <v>48</v>
      </c>
      <c r="E79" s="78" t="s">
        <v>158</v>
      </c>
      <c r="F79" s="78" t="s">
        <v>115</v>
      </c>
      <c r="G79" s="79">
        <f>IF(OR(E79="",F79=""),"",IF(ISERROR(E79*F79),"",TRUNC(E79*F79,2)))</f>
        <v>1.02</v>
      </c>
    </row>
    <row r="80" spans="1:7" x14ac:dyDescent="0.25">
      <c r="A80" s="75"/>
      <c r="B80" s="75">
        <v>5679</v>
      </c>
      <c r="C80" s="75" t="s">
        <v>116</v>
      </c>
      <c r="D80" s="75" t="s">
        <v>49</v>
      </c>
      <c r="E80" s="78" t="s">
        <v>159</v>
      </c>
      <c r="F80" s="78" t="s">
        <v>118</v>
      </c>
      <c r="G80" s="79">
        <f>IF(OR(E80="",F80=""),"",IF(ISERROR(E80*F80),"",TRUNC(E80*F80,2)))</f>
        <v>2.11</v>
      </c>
    </row>
    <row r="81" spans="1:7" x14ac:dyDescent="0.25">
      <c r="A81" s="75"/>
      <c r="B81" s="75">
        <v>20078</v>
      </c>
      <c r="C81" s="75" t="s">
        <v>119</v>
      </c>
      <c r="D81" s="75" t="s">
        <v>32</v>
      </c>
      <c r="E81" s="78" t="s">
        <v>160</v>
      </c>
      <c r="F81" s="78" t="s">
        <v>121</v>
      </c>
      <c r="G81" s="79">
        <f>IF(OR(E81="",F81=""),"",IF(ISERROR(E81*F81),"",TRUNC(E81*F81,2)))</f>
        <v>0.12</v>
      </c>
    </row>
    <row r="82" spans="1:7" x14ac:dyDescent="0.25">
      <c r="A82" s="75"/>
      <c r="B82" s="75">
        <v>88246</v>
      </c>
      <c r="C82" s="75" t="s">
        <v>122</v>
      </c>
      <c r="D82" s="75" t="s">
        <v>26</v>
      </c>
      <c r="E82" s="78" t="s">
        <v>161</v>
      </c>
      <c r="F82" s="78" t="s">
        <v>124</v>
      </c>
      <c r="G82" s="79">
        <f>IF(OR(E82="",F82=""),"",IF(ISERROR(E82*F82),"",TRUNC(E82*F82,2)))</f>
        <v>1.24</v>
      </c>
    </row>
    <row r="83" spans="1:7" x14ac:dyDescent="0.25">
      <c r="A83" s="75"/>
      <c r="B83" s="75">
        <v>88316</v>
      </c>
      <c r="C83" s="75" t="s">
        <v>50</v>
      </c>
      <c r="D83" s="75" t="s">
        <v>26</v>
      </c>
      <c r="E83" s="78" t="s">
        <v>162</v>
      </c>
      <c r="F83" s="78" t="s">
        <v>70</v>
      </c>
      <c r="G83" s="79">
        <f>IF(OR(E83="",F83=""),"",IF(ISERROR(E83*F83),"",TRUNC(E83*F83,2)))</f>
        <v>0.75</v>
      </c>
    </row>
    <row r="84" spans="1:7" x14ac:dyDescent="0.25">
      <c r="A84" s="75"/>
      <c r="B84" s="75"/>
      <c r="C84" s="75"/>
      <c r="D84" s="75"/>
      <c r="E84" s="75"/>
      <c r="F84" s="75" t="s">
        <v>105</v>
      </c>
      <c r="G84" s="79">
        <f>TRUNC(G77 * ('PLANILHA ORÇAMENTARIA'!J2/100), 2)</f>
        <v>1.27</v>
      </c>
    </row>
    <row r="85" spans="1:7" x14ac:dyDescent="0.25">
      <c r="A85" s="80"/>
      <c r="B85" s="80"/>
      <c r="C85" s="80"/>
      <c r="D85" s="80" t="s">
        <v>43</v>
      </c>
      <c r="E85" s="80"/>
      <c r="F85" s="80"/>
      <c r="G85" s="81">
        <f>TRUNC(G77 + G84, 2)</f>
        <v>6.51</v>
      </c>
    </row>
    <row r="86" spans="1:7" x14ac:dyDescent="0.25">
      <c r="A86" s="75" t="s">
        <v>102</v>
      </c>
      <c r="B86" s="75">
        <v>97143</v>
      </c>
      <c r="C86" s="75" t="s">
        <v>150</v>
      </c>
      <c r="D86" s="75" t="s">
        <v>112</v>
      </c>
      <c r="E86" s="75"/>
      <c r="F86" s="75"/>
      <c r="G86" s="79">
        <f>SUM(G87:G92)</f>
        <v>6.9</v>
      </c>
    </row>
    <row r="87" spans="1:7" x14ac:dyDescent="0.25">
      <c r="A87" s="75"/>
      <c r="B87" s="75"/>
      <c r="C87" s="75"/>
      <c r="D87" s="75"/>
      <c r="E87" s="78" t="s">
        <v>60</v>
      </c>
      <c r="F87" s="78" t="s">
        <v>60</v>
      </c>
      <c r="G87" s="79" t="str">
        <f>IF(OR(E87="",F87=""),"",IF(ISERROR(E87*F87),"",TRUNC(E87*F87,2)))</f>
        <v/>
      </c>
    </row>
    <row r="88" spans="1:7" x14ac:dyDescent="0.25">
      <c r="A88" s="75"/>
      <c r="B88" s="75">
        <v>5678</v>
      </c>
      <c r="C88" s="75" t="s">
        <v>113</v>
      </c>
      <c r="D88" s="75" t="s">
        <v>48</v>
      </c>
      <c r="E88" s="78" t="s">
        <v>163</v>
      </c>
      <c r="F88" s="78" t="s">
        <v>115</v>
      </c>
      <c r="G88" s="79">
        <f>IF(OR(E88="",F88=""),"",IF(ISERROR(E88*F88),"",TRUNC(E88*F88,2)))</f>
        <v>1.21</v>
      </c>
    </row>
    <row r="89" spans="1:7" x14ac:dyDescent="0.25">
      <c r="A89" s="75"/>
      <c r="B89" s="75">
        <v>5679</v>
      </c>
      <c r="C89" s="75" t="s">
        <v>116</v>
      </c>
      <c r="D89" s="75" t="s">
        <v>49</v>
      </c>
      <c r="E89" s="78" t="s">
        <v>164</v>
      </c>
      <c r="F89" s="78" t="s">
        <v>118</v>
      </c>
      <c r="G89" s="79">
        <f>IF(OR(E89="",F89=""),"",IF(ISERROR(E89*F89),"",TRUNC(E89*F89,2)))</f>
        <v>2.5</v>
      </c>
    </row>
    <row r="90" spans="1:7" x14ac:dyDescent="0.25">
      <c r="A90" s="75"/>
      <c r="B90" s="75">
        <v>20078</v>
      </c>
      <c r="C90" s="75" t="s">
        <v>119</v>
      </c>
      <c r="D90" s="75" t="s">
        <v>32</v>
      </c>
      <c r="E90" s="78" t="s">
        <v>165</v>
      </c>
      <c r="F90" s="78" t="s">
        <v>121</v>
      </c>
      <c r="G90" s="79">
        <f>IF(OR(E90="",F90=""),"",IF(ISERROR(E90*F90),"",TRUNC(E90*F90,2)))</f>
        <v>0.16</v>
      </c>
    </row>
    <row r="91" spans="1:7" x14ac:dyDescent="0.25">
      <c r="A91" s="75"/>
      <c r="B91" s="75">
        <v>88246</v>
      </c>
      <c r="C91" s="75" t="s">
        <v>122</v>
      </c>
      <c r="D91" s="75" t="s">
        <v>26</v>
      </c>
      <c r="E91" s="78" t="s">
        <v>166</v>
      </c>
      <c r="F91" s="78" t="s">
        <v>124</v>
      </c>
      <c r="G91" s="79">
        <f>IF(OR(E91="",F91=""),"",IF(ISERROR(E91*F91),"",TRUNC(E91*F91,2)))</f>
        <v>1.88</v>
      </c>
    </row>
    <row r="92" spans="1:7" x14ac:dyDescent="0.25">
      <c r="A92" s="75"/>
      <c r="B92" s="75">
        <v>88316</v>
      </c>
      <c r="C92" s="75" t="s">
        <v>50</v>
      </c>
      <c r="D92" s="75" t="s">
        <v>26</v>
      </c>
      <c r="E92" s="78" t="s">
        <v>167</v>
      </c>
      <c r="F92" s="78" t="s">
        <v>70</v>
      </c>
      <c r="G92" s="79">
        <f>IF(OR(E92="",F92=""),"",IF(ISERROR(E92*F92),"",TRUNC(E92*F92,2)))</f>
        <v>1.1499999999999999</v>
      </c>
    </row>
    <row r="93" spans="1:7" x14ac:dyDescent="0.25">
      <c r="A93" s="75"/>
      <c r="B93" s="75"/>
      <c r="C93" s="75"/>
      <c r="D93" s="75"/>
      <c r="E93" s="75"/>
      <c r="F93" s="75" t="s">
        <v>105</v>
      </c>
      <c r="G93" s="79">
        <f>TRUNC(G86 * ('PLANILHA ORÇAMENTARIA'!J2/100), 2)</f>
        <v>1.68</v>
      </c>
    </row>
    <row r="94" spans="1:7" x14ac:dyDescent="0.25">
      <c r="A94" s="80"/>
      <c r="B94" s="80"/>
      <c r="C94" s="80"/>
      <c r="D94" s="80" t="s">
        <v>43</v>
      </c>
      <c r="E94" s="80"/>
      <c r="F94" s="80"/>
      <c r="G94" s="81">
        <f>TRUNC(G86 + G93, 2)</f>
        <v>8.58</v>
      </c>
    </row>
    <row r="95" spans="1:7" x14ac:dyDescent="0.25">
      <c r="A95" s="75" t="s">
        <v>103</v>
      </c>
      <c r="B95" s="75">
        <v>87804</v>
      </c>
      <c r="C95" s="75" t="s">
        <v>83</v>
      </c>
      <c r="D95" s="75" t="s">
        <v>58</v>
      </c>
      <c r="E95" s="75"/>
      <c r="F95" s="75"/>
      <c r="G95" s="79">
        <f>SUM(G96:G100)</f>
        <v>117.69000000000001</v>
      </c>
    </row>
    <row r="96" spans="1:7" x14ac:dyDescent="0.25">
      <c r="A96" s="75"/>
      <c r="B96" s="75"/>
      <c r="C96" s="75"/>
      <c r="D96" s="75"/>
      <c r="E96" s="78" t="s">
        <v>60</v>
      </c>
      <c r="F96" s="78" t="s">
        <v>60</v>
      </c>
      <c r="G96" s="79" t="str">
        <f>IF(OR(E96="",F96=""),"",IF(ISERROR(E96*F96),"",TRUNC(E96*F96,2)))</f>
        <v/>
      </c>
    </row>
    <row r="97" spans="1:7" x14ac:dyDescent="0.25">
      <c r="A97" s="75"/>
      <c r="B97" s="75">
        <v>37411</v>
      </c>
      <c r="C97" s="75" t="s">
        <v>84</v>
      </c>
      <c r="D97" s="75" t="s">
        <v>58</v>
      </c>
      <c r="E97" s="78" t="s">
        <v>85</v>
      </c>
      <c r="F97" s="78" t="s">
        <v>86</v>
      </c>
      <c r="G97" s="79">
        <f>IF(OR(E97="",F97=""),"",IF(ISERROR(E97*F97),"",TRUNC(E97*F97,2)))</f>
        <v>2.65</v>
      </c>
    </row>
    <row r="98" spans="1:7" x14ac:dyDescent="0.25">
      <c r="A98" s="75"/>
      <c r="B98" s="75">
        <v>87407</v>
      </c>
      <c r="C98" s="75" t="s">
        <v>87</v>
      </c>
      <c r="D98" s="75" t="s">
        <v>34</v>
      </c>
      <c r="E98" s="78" t="s">
        <v>88</v>
      </c>
      <c r="F98" s="78" t="s">
        <v>89</v>
      </c>
      <c r="G98" s="79">
        <f>IF(OR(E98="",F98=""),"",IF(ISERROR(E98*F98),"",TRUNC(E98*F98,2)))</f>
        <v>92.3</v>
      </c>
    </row>
    <row r="99" spans="1:7" x14ac:dyDescent="0.25">
      <c r="A99" s="75"/>
      <c r="B99" s="75">
        <v>88309</v>
      </c>
      <c r="C99" s="75" t="s">
        <v>25</v>
      </c>
      <c r="D99" s="75" t="s">
        <v>26</v>
      </c>
      <c r="E99" s="78" t="s">
        <v>90</v>
      </c>
      <c r="F99" s="78" t="s">
        <v>81</v>
      </c>
      <c r="G99" s="79">
        <f>IF(OR(E99="",F99=""),"",IF(ISERROR(E99*F99),"",TRUNC(E99*F99,2)))</f>
        <v>12.54</v>
      </c>
    </row>
    <row r="100" spans="1:7" x14ac:dyDescent="0.25">
      <c r="A100" s="75"/>
      <c r="B100" s="75">
        <v>88316</v>
      </c>
      <c r="C100" s="75" t="s">
        <v>50</v>
      </c>
      <c r="D100" s="75" t="s">
        <v>26</v>
      </c>
      <c r="E100" s="78" t="s">
        <v>90</v>
      </c>
      <c r="F100" s="78" t="s">
        <v>70</v>
      </c>
      <c r="G100" s="79">
        <f>IF(OR(E100="",F100=""),"",IF(ISERROR(E100*F100),"",TRUNC(E100*F100,2)))</f>
        <v>10.199999999999999</v>
      </c>
    </row>
    <row r="101" spans="1:7" x14ac:dyDescent="0.25">
      <c r="A101" s="75"/>
      <c r="B101" s="75"/>
      <c r="C101" s="75"/>
      <c r="D101" s="75"/>
      <c r="E101" s="75"/>
      <c r="F101" s="75" t="s">
        <v>105</v>
      </c>
      <c r="G101" s="79">
        <f>TRUNC(G95 * ('PLANILHA ORÇAMENTARIA'!J2/100), 2)</f>
        <v>28.68</v>
      </c>
    </row>
    <row r="102" spans="1:7" x14ac:dyDescent="0.25">
      <c r="A102" s="80"/>
      <c r="B102" s="80"/>
      <c r="C102" s="80"/>
      <c r="D102" s="80" t="s">
        <v>43</v>
      </c>
      <c r="E102" s="80"/>
      <c r="F102" s="80"/>
      <c r="G102" s="81">
        <f>TRUNC(G95 + G101, 2)</f>
        <v>146.37</v>
      </c>
    </row>
    <row r="103" spans="1:7" x14ac:dyDescent="0.25">
      <c r="A103" s="75" t="s">
        <v>104</v>
      </c>
      <c r="B103" s="75">
        <v>87404</v>
      </c>
      <c r="C103" s="75" t="s">
        <v>33</v>
      </c>
      <c r="D103" s="75" t="s">
        <v>34</v>
      </c>
      <c r="E103" s="75"/>
      <c r="F103" s="75"/>
      <c r="G103" s="79">
        <f>SUM(G104:G108)</f>
        <v>5293.94</v>
      </c>
    </row>
    <row r="104" spans="1:7" x14ac:dyDescent="0.25">
      <c r="A104" s="75"/>
      <c r="B104" s="75"/>
      <c r="C104" s="75"/>
      <c r="D104" s="75"/>
      <c r="E104" s="78" t="s">
        <v>60</v>
      </c>
      <c r="F104" s="78" t="s">
        <v>60</v>
      </c>
      <c r="G104" s="79" t="str">
        <f>IF(OR(E104="",F104=""),"",IF(ISERROR(E104*F104),"",TRUNC(E104*F104,2)))</f>
        <v/>
      </c>
    </row>
    <row r="105" spans="1:7" x14ac:dyDescent="0.25">
      <c r="A105" s="75"/>
      <c r="B105" s="75">
        <v>36880</v>
      </c>
      <c r="C105" s="75" t="s">
        <v>51</v>
      </c>
      <c r="D105" s="75" t="s">
        <v>52</v>
      </c>
      <c r="E105" s="78" t="s">
        <v>91</v>
      </c>
      <c r="F105" s="78" t="s">
        <v>71</v>
      </c>
      <c r="G105" s="79">
        <f>IF(OR(E105="",F105=""),"",IF(ISERROR(E105*F105),"",TRUNC(E105*F105,2)))</f>
        <v>5108.4799999999996</v>
      </c>
    </row>
    <row r="106" spans="1:7" x14ac:dyDescent="0.25">
      <c r="A106" s="75"/>
      <c r="B106" s="75">
        <v>88377</v>
      </c>
      <c r="C106" s="75" t="s">
        <v>53</v>
      </c>
      <c r="D106" s="75" t="s">
        <v>26</v>
      </c>
      <c r="E106" s="78" t="s">
        <v>72</v>
      </c>
      <c r="F106" s="78" t="s">
        <v>73</v>
      </c>
      <c r="G106" s="79">
        <f>IF(OR(E106="",F106=""),"",IF(ISERROR(E106*F106),"",TRUNC(E106*F106,2)))</f>
        <v>141.99</v>
      </c>
    </row>
    <row r="107" spans="1:7" x14ac:dyDescent="0.25">
      <c r="A107" s="75"/>
      <c r="B107" s="75">
        <v>88418</v>
      </c>
      <c r="C107" s="75" t="s">
        <v>54</v>
      </c>
      <c r="D107" s="75" t="s">
        <v>48</v>
      </c>
      <c r="E107" s="78" t="s">
        <v>59</v>
      </c>
      <c r="F107" s="78" t="s">
        <v>74</v>
      </c>
      <c r="G107" s="79">
        <f>IF(OR(E107="",F107=""),"",IF(ISERROR(E107*F107),"",TRUNC(E107*F107,2)))</f>
        <v>8.9700000000000006</v>
      </c>
    </row>
    <row r="108" spans="1:7" x14ac:dyDescent="0.25">
      <c r="A108" s="75"/>
      <c r="B108" s="75">
        <v>88430</v>
      </c>
      <c r="C108" s="75" t="s">
        <v>55</v>
      </c>
      <c r="D108" s="75" t="s">
        <v>49</v>
      </c>
      <c r="E108" s="78" t="s">
        <v>75</v>
      </c>
      <c r="F108" s="78" t="s">
        <v>76</v>
      </c>
      <c r="G108" s="79">
        <f>IF(OR(E108="",F108=""),"",IF(ISERROR(E108*F108),"",TRUNC(E108*F108,2)))</f>
        <v>34.5</v>
      </c>
    </row>
    <row r="109" spans="1:7" x14ac:dyDescent="0.25">
      <c r="A109" s="75"/>
      <c r="B109" s="75"/>
      <c r="C109" s="75"/>
      <c r="D109" s="75"/>
      <c r="E109" s="75"/>
      <c r="F109" s="75" t="s">
        <v>105</v>
      </c>
      <c r="G109" s="79">
        <f>TRUNC(G103 * ('PLANILHA ORÇAMENTARIA'!J2/100), 2)</f>
        <v>1290.1300000000001</v>
      </c>
    </row>
    <row r="110" spans="1:7" x14ac:dyDescent="0.25">
      <c r="A110" s="80"/>
      <c r="B110" s="80"/>
      <c r="C110" s="80"/>
      <c r="D110" s="80" t="s">
        <v>43</v>
      </c>
      <c r="E110" s="80"/>
      <c r="F110" s="80"/>
      <c r="G110" s="81">
        <f>TRUNC(G103 + G109, 2)</f>
        <v>6584.07</v>
      </c>
    </row>
    <row r="111" spans="1:7" x14ac:dyDescent="0.25">
      <c r="A111" s="75" t="s">
        <v>109</v>
      </c>
      <c r="B111" s="75">
        <v>99260</v>
      </c>
      <c r="C111" s="75" t="s">
        <v>151</v>
      </c>
      <c r="D111" s="75" t="s">
        <v>32</v>
      </c>
      <c r="E111" s="75"/>
      <c r="F111" s="75"/>
      <c r="G111" s="79">
        <f>SUM(G112:G127)</f>
        <v>405.89</v>
      </c>
    </row>
    <row r="112" spans="1:7" x14ac:dyDescent="0.25">
      <c r="A112" s="75"/>
      <c r="B112" s="75"/>
      <c r="C112" s="75"/>
      <c r="D112" s="75"/>
      <c r="E112" s="78" t="s">
        <v>60</v>
      </c>
      <c r="F112" s="78" t="s">
        <v>60</v>
      </c>
      <c r="G112" s="79" t="str">
        <f>IF(OR(E112="",F112=""),"",IF(ISERROR(E112*F112),"",TRUNC(E112*F112,2)))</f>
        <v/>
      </c>
    </row>
    <row r="113" spans="1:7" x14ac:dyDescent="0.25">
      <c r="A113" s="75"/>
      <c r="B113" s="75">
        <v>650</v>
      </c>
      <c r="C113" s="75" t="s">
        <v>168</v>
      </c>
      <c r="D113" s="75" t="s">
        <v>32</v>
      </c>
      <c r="E113" s="78" t="s">
        <v>169</v>
      </c>
      <c r="F113" s="78" t="s">
        <v>170</v>
      </c>
      <c r="G113" s="79">
        <f>IF(OR(E113="",F113=""),"",IF(ISERROR(E113*F113),"",TRUNC(E113*F113,2)))</f>
        <v>72.87</v>
      </c>
    </row>
    <row r="114" spans="1:7" x14ac:dyDescent="0.25">
      <c r="A114" s="75"/>
      <c r="B114" s="75">
        <v>2692</v>
      </c>
      <c r="C114" s="75" t="s">
        <v>171</v>
      </c>
      <c r="D114" s="75" t="s">
        <v>172</v>
      </c>
      <c r="E114" s="78" t="s">
        <v>160</v>
      </c>
      <c r="F114" s="78" t="s">
        <v>173</v>
      </c>
      <c r="G114" s="79">
        <f>IF(OR(E114="",F114=""),"",IF(ISERROR(E114*F114),"",TRUNC(E114*F114,2)))</f>
        <v>0.03</v>
      </c>
    </row>
    <row r="115" spans="1:7" x14ac:dyDescent="0.25">
      <c r="A115" s="75"/>
      <c r="B115" s="75">
        <v>4491</v>
      </c>
      <c r="C115" s="75" t="s">
        <v>174</v>
      </c>
      <c r="D115" s="75" t="s">
        <v>112</v>
      </c>
      <c r="E115" s="78" t="s">
        <v>175</v>
      </c>
      <c r="F115" s="78" t="s">
        <v>176</v>
      </c>
      <c r="G115" s="79">
        <f>IF(OR(E115="",F115=""),"",IF(ISERROR(E115*F115),"",TRUNC(E115*F115,2)))</f>
        <v>1.54</v>
      </c>
    </row>
    <row r="116" spans="1:7" x14ac:dyDescent="0.25">
      <c r="A116" s="75"/>
      <c r="B116" s="75">
        <v>4517</v>
      </c>
      <c r="C116" s="75" t="s">
        <v>177</v>
      </c>
      <c r="D116" s="75" t="s">
        <v>112</v>
      </c>
      <c r="E116" s="78" t="s">
        <v>178</v>
      </c>
      <c r="F116" s="78" t="s">
        <v>179</v>
      </c>
      <c r="G116" s="79">
        <f>IF(OR(E116="",F116=""),"",IF(ISERROR(E116*F116),"",TRUNC(E116*F116,2)))</f>
        <v>0.64</v>
      </c>
    </row>
    <row r="117" spans="1:7" x14ac:dyDescent="0.25">
      <c r="A117" s="75"/>
      <c r="B117" s="75">
        <v>5069</v>
      </c>
      <c r="C117" s="75" t="s">
        <v>180</v>
      </c>
      <c r="D117" s="75" t="s">
        <v>52</v>
      </c>
      <c r="E117" s="78" t="s">
        <v>181</v>
      </c>
      <c r="F117" s="78" t="s">
        <v>182</v>
      </c>
      <c r="G117" s="79">
        <f>IF(OR(E117="",F117=""),"",IF(ISERROR(E117*F117),"",TRUNC(E117*F117,2)))</f>
        <v>0.28000000000000003</v>
      </c>
    </row>
    <row r="118" spans="1:7" x14ac:dyDescent="0.25">
      <c r="A118" s="75"/>
      <c r="B118" s="75">
        <v>5678</v>
      </c>
      <c r="C118" s="75" t="s">
        <v>113</v>
      </c>
      <c r="D118" s="75" t="s">
        <v>48</v>
      </c>
      <c r="E118" s="78" t="s">
        <v>183</v>
      </c>
      <c r="F118" s="78" t="s">
        <v>115</v>
      </c>
      <c r="G118" s="79">
        <f>IF(OR(E118="",F118=""),"",IF(ISERROR(E118*F118),"",TRUNC(E118*F118,2)))</f>
        <v>1.29</v>
      </c>
    </row>
    <row r="119" spans="1:7" x14ac:dyDescent="0.25">
      <c r="A119" s="75"/>
      <c r="B119" s="75">
        <v>5679</v>
      </c>
      <c r="C119" s="75" t="s">
        <v>116</v>
      </c>
      <c r="D119" s="75" t="s">
        <v>49</v>
      </c>
      <c r="E119" s="78" t="s">
        <v>184</v>
      </c>
      <c r="F119" s="78" t="s">
        <v>118</v>
      </c>
      <c r="G119" s="79">
        <f>IF(OR(E119="",F119=""),"",IF(ISERROR(E119*F119),"",TRUNC(E119*F119,2)))</f>
        <v>1.1399999999999999</v>
      </c>
    </row>
    <row r="120" spans="1:7" x14ac:dyDescent="0.25">
      <c r="A120" s="75"/>
      <c r="B120" s="75">
        <v>6193</v>
      </c>
      <c r="C120" s="75" t="s">
        <v>185</v>
      </c>
      <c r="D120" s="75" t="s">
        <v>112</v>
      </c>
      <c r="E120" s="78" t="s">
        <v>186</v>
      </c>
      <c r="F120" s="78" t="s">
        <v>187</v>
      </c>
      <c r="G120" s="79">
        <f>IF(OR(E120="",F120=""),"",IF(ISERROR(E120*F120),"",TRUNC(E120*F120,2)))</f>
        <v>9.67</v>
      </c>
    </row>
    <row r="121" spans="1:7" x14ac:dyDescent="0.25">
      <c r="A121" s="75"/>
      <c r="B121" s="75">
        <v>87316</v>
      </c>
      <c r="C121" s="75" t="s">
        <v>188</v>
      </c>
      <c r="D121" s="75" t="s">
        <v>34</v>
      </c>
      <c r="E121" s="78" t="s">
        <v>189</v>
      </c>
      <c r="F121" s="78" t="s">
        <v>190</v>
      </c>
      <c r="G121" s="79">
        <f>IF(OR(E121="",F121=""),"",IF(ISERROR(E121*F121),"",TRUNC(E121*F121,2)))</f>
        <v>6.65</v>
      </c>
    </row>
    <row r="122" spans="1:7" x14ac:dyDescent="0.25">
      <c r="A122" s="75"/>
      <c r="B122" s="75">
        <v>88309</v>
      </c>
      <c r="C122" s="75" t="s">
        <v>25</v>
      </c>
      <c r="D122" s="75" t="s">
        <v>26</v>
      </c>
      <c r="E122" s="78" t="s">
        <v>191</v>
      </c>
      <c r="F122" s="78" t="s">
        <v>81</v>
      </c>
      <c r="G122" s="79">
        <f>IF(OR(E122="",F122=""),"",IF(ISERROR(E122*F122),"",TRUNC(E122*F122,2)))</f>
        <v>82.14</v>
      </c>
    </row>
    <row r="123" spans="1:7" x14ac:dyDescent="0.25">
      <c r="A123" s="75"/>
      <c r="B123" s="75">
        <v>88316</v>
      </c>
      <c r="C123" s="75" t="s">
        <v>50</v>
      </c>
      <c r="D123" s="75" t="s">
        <v>26</v>
      </c>
      <c r="E123" s="78" t="s">
        <v>192</v>
      </c>
      <c r="F123" s="78" t="s">
        <v>70</v>
      </c>
      <c r="G123" s="79">
        <f>IF(OR(E123="",F123=""),"",IF(ISERROR(E123*F123),"",TRUNC(E123*F123,2)))</f>
        <v>52.51</v>
      </c>
    </row>
    <row r="124" spans="1:7" x14ac:dyDescent="0.25">
      <c r="A124" s="75"/>
      <c r="B124" s="75">
        <v>88628</v>
      </c>
      <c r="C124" s="75" t="s">
        <v>193</v>
      </c>
      <c r="D124" s="75" t="s">
        <v>34</v>
      </c>
      <c r="E124" s="78" t="s">
        <v>194</v>
      </c>
      <c r="F124" s="78" t="s">
        <v>195</v>
      </c>
      <c r="G124" s="79">
        <f>IF(OR(E124="",F124=""),"",IF(ISERROR(E124*F124),"",TRUNC(E124*F124,2)))</f>
        <v>38.049999999999997</v>
      </c>
    </row>
    <row r="125" spans="1:7" x14ac:dyDescent="0.25">
      <c r="A125" s="75"/>
      <c r="B125" s="75">
        <v>94970</v>
      </c>
      <c r="C125" s="75" t="s">
        <v>196</v>
      </c>
      <c r="D125" s="75" t="s">
        <v>34</v>
      </c>
      <c r="E125" s="78" t="s">
        <v>197</v>
      </c>
      <c r="F125" s="78" t="s">
        <v>198</v>
      </c>
      <c r="G125" s="79">
        <f>IF(OR(E125="",F125=""),"",IF(ISERROR(E125*F125),"",TRUNC(E125*F125,2)))</f>
        <v>34.369999999999997</v>
      </c>
    </row>
    <row r="126" spans="1:7" x14ac:dyDescent="0.25">
      <c r="A126" s="75"/>
      <c r="B126" s="75">
        <v>97735</v>
      </c>
      <c r="C126" s="75" t="s">
        <v>199</v>
      </c>
      <c r="D126" s="75" t="s">
        <v>34</v>
      </c>
      <c r="E126" s="78" t="s">
        <v>200</v>
      </c>
      <c r="F126" s="78" t="s">
        <v>201</v>
      </c>
      <c r="G126" s="79">
        <f>IF(OR(E126="",F126=""),"",IF(ISERROR(E126*F126),"",TRUNC(E126*F126,2)))</f>
        <v>100.33</v>
      </c>
    </row>
    <row r="127" spans="1:7" x14ac:dyDescent="0.25">
      <c r="A127" s="75"/>
      <c r="B127" s="75">
        <v>101616</v>
      </c>
      <c r="C127" s="75" t="s">
        <v>202</v>
      </c>
      <c r="D127" s="75" t="s">
        <v>58</v>
      </c>
      <c r="E127" s="78" t="s">
        <v>203</v>
      </c>
      <c r="F127" s="78" t="s">
        <v>204</v>
      </c>
      <c r="G127" s="79">
        <f>IF(OR(E127="",F127=""),"",IF(ISERROR(E127*F127),"",TRUNC(E127*F127,2)))</f>
        <v>4.38</v>
      </c>
    </row>
    <row r="128" spans="1:7" x14ac:dyDescent="0.25">
      <c r="A128" s="75"/>
      <c r="B128" s="75"/>
      <c r="C128" s="75"/>
      <c r="D128" s="75"/>
      <c r="E128" s="75"/>
      <c r="F128" s="75" t="s">
        <v>105</v>
      </c>
      <c r="G128" s="79">
        <f>TRUNC(G111 * ('PLANILHA ORÇAMENTARIA'!J2/100), 2)</f>
        <v>98.91</v>
      </c>
    </row>
    <row r="129" spans="1:7" x14ac:dyDescent="0.25">
      <c r="A129" s="80"/>
      <c r="B129" s="80"/>
      <c r="C129" s="80"/>
      <c r="D129" s="80" t="s">
        <v>43</v>
      </c>
      <c r="E129" s="80"/>
      <c r="F129" s="80"/>
      <c r="G129" s="81">
        <f>TRUNC(G111 + G128, 2)</f>
        <v>504.8</v>
      </c>
    </row>
    <row r="130" spans="1:7" x14ac:dyDescent="0.25">
      <c r="A130" s="76">
        <v>3</v>
      </c>
      <c r="B130" s="76"/>
      <c r="C130" s="76" t="s">
        <v>92</v>
      </c>
      <c r="D130" s="76"/>
      <c r="E130" s="76"/>
      <c r="F130" s="76"/>
      <c r="G130" s="76"/>
    </row>
    <row r="131" spans="1:7" x14ac:dyDescent="0.25">
      <c r="A131" s="77">
        <v>3.1</v>
      </c>
      <c r="B131" s="77"/>
      <c r="C131" s="77" t="s">
        <v>107</v>
      </c>
      <c r="D131" s="77"/>
      <c r="E131" s="77"/>
      <c r="F131" s="77"/>
      <c r="G131" s="77"/>
    </row>
    <row r="132" spans="1:7" x14ac:dyDescent="0.25">
      <c r="A132" s="75" t="s">
        <v>82</v>
      </c>
      <c r="B132" s="75">
        <v>99261</v>
      </c>
      <c r="C132" s="75" t="s">
        <v>152</v>
      </c>
      <c r="D132" s="75" t="s">
        <v>112</v>
      </c>
      <c r="E132" s="75"/>
      <c r="F132" s="75"/>
      <c r="G132" s="79">
        <f>SUM(G133:G143)</f>
        <v>1466.4599999999998</v>
      </c>
    </row>
    <row r="133" spans="1:7" x14ac:dyDescent="0.25">
      <c r="A133" s="75"/>
      <c r="B133" s="75"/>
      <c r="C133" s="75"/>
      <c r="D133" s="75"/>
      <c r="E133" s="78" t="s">
        <v>60</v>
      </c>
      <c r="F133" s="78" t="s">
        <v>60</v>
      </c>
      <c r="G133" s="79" t="str">
        <f>IF(OR(E133="",F133=""),"",IF(ISERROR(E133*F133),"",TRUNC(E133*F133,2)))</f>
        <v/>
      </c>
    </row>
    <row r="134" spans="1:7" x14ac:dyDescent="0.25">
      <c r="A134" s="75"/>
      <c r="B134" s="75">
        <v>660</v>
      </c>
      <c r="C134" s="75" t="s">
        <v>205</v>
      </c>
      <c r="D134" s="75" t="s">
        <v>32</v>
      </c>
      <c r="E134" s="78" t="s">
        <v>206</v>
      </c>
      <c r="F134" s="78" t="s">
        <v>207</v>
      </c>
      <c r="G134" s="79">
        <f>IF(OR(E134="",F134=""),"",IF(ISERROR(E134*F134),"",TRUNC(E134*F134,2)))</f>
        <v>59.22</v>
      </c>
    </row>
    <row r="135" spans="1:7" x14ac:dyDescent="0.25">
      <c r="A135" s="75"/>
      <c r="B135" s="75">
        <v>25067</v>
      </c>
      <c r="C135" s="75" t="s">
        <v>208</v>
      </c>
      <c r="D135" s="75" t="s">
        <v>32</v>
      </c>
      <c r="E135" s="78" t="s">
        <v>209</v>
      </c>
      <c r="F135" s="78" t="s">
        <v>210</v>
      </c>
      <c r="G135" s="79">
        <f>IF(OR(E135="",F135=""),"",IF(ISERROR(E135*F135),"",TRUNC(E135*F135,2)))</f>
        <v>428.88</v>
      </c>
    </row>
    <row r="136" spans="1:7" x14ac:dyDescent="0.25">
      <c r="A136" s="75"/>
      <c r="B136" s="75">
        <v>87316</v>
      </c>
      <c r="C136" s="75" t="s">
        <v>188</v>
      </c>
      <c r="D136" s="75" t="s">
        <v>34</v>
      </c>
      <c r="E136" s="78" t="s">
        <v>211</v>
      </c>
      <c r="F136" s="78" t="s">
        <v>190</v>
      </c>
      <c r="G136" s="79">
        <f>IF(OR(E136="",F136=""),"",IF(ISERROR(E136*F136),"",TRUNC(E136*F136,2)))</f>
        <v>21.88</v>
      </c>
    </row>
    <row r="137" spans="1:7" x14ac:dyDescent="0.25">
      <c r="A137" s="75"/>
      <c r="B137" s="75">
        <v>88309</v>
      </c>
      <c r="C137" s="75" t="s">
        <v>25</v>
      </c>
      <c r="D137" s="75" t="s">
        <v>26</v>
      </c>
      <c r="E137" s="78" t="s">
        <v>212</v>
      </c>
      <c r="F137" s="78" t="s">
        <v>81</v>
      </c>
      <c r="G137" s="79">
        <f>IF(OR(E137="",F137=""),"",IF(ISERROR(E137*F137),"",TRUNC(E137*F137,2)))</f>
        <v>366.79</v>
      </c>
    </row>
    <row r="138" spans="1:7" x14ac:dyDescent="0.25">
      <c r="A138" s="75"/>
      <c r="B138" s="75">
        <v>88316</v>
      </c>
      <c r="C138" s="75" t="s">
        <v>50</v>
      </c>
      <c r="D138" s="75" t="s">
        <v>26</v>
      </c>
      <c r="E138" s="78" t="s">
        <v>213</v>
      </c>
      <c r="F138" s="78" t="s">
        <v>70</v>
      </c>
      <c r="G138" s="79">
        <f>IF(OR(E138="",F138=""),"",IF(ISERROR(E138*F138),"",TRUNC(E138*F138,2)))</f>
        <v>234.48</v>
      </c>
    </row>
    <row r="139" spans="1:7" x14ac:dyDescent="0.25">
      <c r="A139" s="75"/>
      <c r="B139" s="75">
        <v>88628</v>
      </c>
      <c r="C139" s="75" t="s">
        <v>193</v>
      </c>
      <c r="D139" s="75" t="s">
        <v>34</v>
      </c>
      <c r="E139" s="78" t="s">
        <v>214</v>
      </c>
      <c r="F139" s="78" t="s">
        <v>195</v>
      </c>
      <c r="G139" s="79">
        <f>IF(OR(E139="",F139=""),"",IF(ISERROR(E139*F139),"",TRUNC(E139*F139,2)))</f>
        <v>212.36</v>
      </c>
    </row>
    <row r="140" spans="1:7" x14ac:dyDescent="0.25">
      <c r="A140" s="75"/>
      <c r="B140" s="75">
        <v>89993</v>
      </c>
      <c r="C140" s="75" t="s">
        <v>215</v>
      </c>
      <c r="D140" s="75" t="s">
        <v>34</v>
      </c>
      <c r="E140" s="78" t="s">
        <v>216</v>
      </c>
      <c r="F140" s="78" t="s">
        <v>217</v>
      </c>
      <c r="G140" s="79">
        <f>IF(OR(E140="",F140=""),"",IF(ISERROR(E140*F140),"",TRUNC(E140*F140,2)))</f>
        <v>57.34</v>
      </c>
    </row>
    <row r="141" spans="1:7" x14ac:dyDescent="0.25">
      <c r="A141" s="75"/>
      <c r="B141" s="75">
        <v>89995</v>
      </c>
      <c r="C141" s="75" t="s">
        <v>218</v>
      </c>
      <c r="D141" s="75" t="s">
        <v>34</v>
      </c>
      <c r="E141" s="78" t="s">
        <v>219</v>
      </c>
      <c r="F141" s="78" t="s">
        <v>220</v>
      </c>
      <c r="G141" s="79">
        <f>IF(OR(E141="",F141=""),"",IF(ISERROR(E141*F141),"",TRUNC(E141*F141,2)))</f>
        <v>41.36</v>
      </c>
    </row>
    <row r="142" spans="1:7" x14ac:dyDescent="0.25">
      <c r="A142" s="75"/>
      <c r="B142" s="75">
        <v>89996</v>
      </c>
      <c r="C142" s="75" t="s">
        <v>221</v>
      </c>
      <c r="D142" s="75" t="s">
        <v>52</v>
      </c>
      <c r="E142" s="78" t="s">
        <v>222</v>
      </c>
      <c r="F142" s="78" t="s">
        <v>223</v>
      </c>
      <c r="G142" s="79">
        <f>IF(OR(E142="",F142=""),"",IF(ISERROR(E142*F142),"",TRUNC(E142*F142,2)))</f>
        <v>23.61</v>
      </c>
    </row>
    <row r="143" spans="1:7" x14ac:dyDescent="0.25">
      <c r="A143" s="75"/>
      <c r="B143" s="75">
        <v>89998</v>
      </c>
      <c r="C143" s="75" t="s">
        <v>224</v>
      </c>
      <c r="D143" s="75" t="s">
        <v>52</v>
      </c>
      <c r="E143" s="78" t="s">
        <v>225</v>
      </c>
      <c r="F143" s="78" t="s">
        <v>226</v>
      </c>
      <c r="G143" s="79">
        <f>IF(OR(E143="",F143=""),"",IF(ISERROR(E143*F143),"",TRUNC(E143*F143,2)))</f>
        <v>20.54</v>
      </c>
    </row>
    <row r="144" spans="1:7" x14ac:dyDescent="0.25">
      <c r="A144" s="75"/>
      <c r="B144" s="75"/>
      <c r="C144" s="75"/>
      <c r="D144" s="75"/>
      <c r="E144" s="75"/>
      <c r="F144" s="75" t="s">
        <v>105</v>
      </c>
      <c r="G144" s="79">
        <f>TRUNC(G132 * ('PLANILHA ORÇAMENTARIA'!J2/100), 2)</f>
        <v>357.37</v>
      </c>
    </row>
    <row r="145" spans="1:7" x14ac:dyDescent="0.25">
      <c r="A145" s="80"/>
      <c r="B145" s="80"/>
      <c r="C145" s="80"/>
      <c r="D145" s="80" t="s">
        <v>43</v>
      </c>
      <c r="E145" s="80"/>
      <c r="F145" s="80"/>
      <c r="G145" s="81">
        <f>TRUNC(G132 + G144, 2)</f>
        <v>1823.83</v>
      </c>
    </row>
    <row r="146" spans="1:7" x14ac:dyDescent="0.25">
      <c r="A146" s="75" t="s">
        <v>110</v>
      </c>
      <c r="B146" s="75">
        <v>99282</v>
      </c>
      <c r="C146" s="75" t="s">
        <v>153</v>
      </c>
      <c r="D146" s="75" t="s">
        <v>112</v>
      </c>
      <c r="E146" s="75"/>
      <c r="F146" s="75"/>
      <c r="G146" s="79">
        <f>SUM(G147:G157)</f>
        <v>2683.2300000000005</v>
      </c>
    </row>
    <row r="147" spans="1:7" x14ac:dyDescent="0.25">
      <c r="A147" s="75"/>
      <c r="B147" s="75"/>
      <c r="C147" s="75"/>
      <c r="D147" s="75"/>
      <c r="E147" s="78" t="s">
        <v>60</v>
      </c>
      <c r="F147" s="78" t="s">
        <v>60</v>
      </c>
      <c r="G147" s="79" t="str">
        <f>IF(OR(E147="",F147=""),"",IF(ISERROR(E147*F147),"",TRUNC(E147*F147,2)))</f>
        <v/>
      </c>
    </row>
    <row r="148" spans="1:7" x14ac:dyDescent="0.25">
      <c r="A148" s="75"/>
      <c r="B148" s="75">
        <v>660</v>
      </c>
      <c r="C148" s="75" t="s">
        <v>205</v>
      </c>
      <c r="D148" s="75" t="s">
        <v>32</v>
      </c>
      <c r="E148" s="78" t="s">
        <v>227</v>
      </c>
      <c r="F148" s="78" t="s">
        <v>207</v>
      </c>
      <c r="G148" s="79">
        <f>IF(OR(E148="",F148=""),"",IF(ISERROR(E148*F148),"",TRUNC(E148*F148,2)))</f>
        <v>110.28</v>
      </c>
    </row>
    <row r="149" spans="1:7" x14ac:dyDescent="0.25">
      <c r="A149" s="75"/>
      <c r="B149" s="75">
        <v>25067</v>
      </c>
      <c r="C149" s="75" t="s">
        <v>208</v>
      </c>
      <c r="D149" s="75" t="s">
        <v>32</v>
      </c>
      <c r="E149" s="78" t="s">
        <v>228</v>
      </c>
      <c r="F149" s="78" t="s">
        <v>210</v>
      </c>
      <c r="G149" s="79">
        <f>IF(OR(E149="",F149=""),"",IF(ISERROR(E149*F149),"",TRUNC(E149*F149,2)))</f>
        <v>798.61</v>
      </c>
    </row>
    <row r="150" spans="1:7" x14ac:dyDescent="0.25">
      <c r="A150" s="75"/>
      <c r="B150" s="75">
        <v>87316</v>
      </c>
      <c r="C150" s="75" t="s">
        <v>188</v>
      </c>
      <c r="D150" s="75" t="s">
        <v>34</v>
      </c>
      <c r="E150" s="78" t="s">
        <v>229</v>
      </c>
      <c r="F150" s="78" t="s">
        <v>190</v>
      </c>
      <c r="G150" s="79">
        <f>IF(OR(E150="",F150=""),"",IF(ISERROR(E150*F150),"",TRUNC(E150*F150,2)))</f>
        <v>40.76</v>
      </c>
    </row>
    <row r="151" spans="1:7" x14ac:dyDescent="0.25">
      <c r="A151" s="75"/>
      <c r="B151" s="75">
        <v>88309</v>
      </c>
      <c r="C151" s="75" t="s">
        <v>25</v>
      </c>
      <c r="D151" s="75" t="s">
        <v>26</v>
      </c>
      <c r="E151" s="78" t="s">
        <v>230</v>
      </c>
      <c r="F151" s="78" t="s">
        <v>81</v>
      </c>
      <c r="G151" s="79">
        <f>IF(OR(E151="",F151=""),"",IF(ISERROR(E151*F151),"",TRUNC(E151*F151,2)))</f>
        <v>688.43</v>
      </c>
    </row>
    <row r="152" spans="1:7" x14ac:dyDescent="0.25">
      <c r="A152" s="75"/>
      <c r="B152" s="75">
        <v>88316</v>
      </c>
      <c r="C152" s="75" t="s">
        <v>50</v>
      </c>
      <c r="D152" s="75" t="s">
        <v>26</v>
      </c>
      <c r="E152" s="78" t="s">
        <v>231</v>
      </c>
      <c r="F152" s="78" t="s">
        <v>70</v>
      </c>
      <c r="G152" s="79">
        <f>IF(OR(E152="",F152=""),"",IF(ISERROR(E152*F152),"",TRUNC(E152*F152,2)))</f>
        <v>440.11</v>
      </c>
    </row>
    <row r="153" spans="1:7" x14ac:dyDescent="0.25">
      <c r="A153" s="75"/>
      <c r="B153" s="75">
        <v>88628</v>
      </c>
      <c r="C153" s="75" t="s">
        <v>193</v>
      </c>
      <c r="D153" s="75" t="s">
        <v>34</v>
      </c>
      <c r="E153" s="78" t="s">
        <v>232</v>
      </c>
      <c r="F153" s="78" t="s">
        <v>195</v>
      </c>
      <c r="G153" s="79">
        <f>IF(OR(E153="",F153=""),"",IF(ISERROR(E153*F153),"",TRUNC(E153*F153,2)))</f>
        <v>408.78</v>
      </c>
    </row>
    <row r="154" spans="1:7" x14ac:dyDescent="0.25">
      <c r="A154" s="75"/>
      <c r="B154" s="75">
        <v>89993</v>
      </c>
      <c r="C154" s="75" t="s">
        <v>215</v>
      </c>
      <c r="D154" s="75" t="s">
        <v>34</v>
      </c>
      <c r="E154" s="78" t="s">
        <v>216</v>
      </c>
      <c r="F154" s="78" t="s">
        <v>217</v>
      </c>
      <c r="G154" s="79">
        <f>IF(OR(E154="",F154=""),"",IF(ISERROR(E154*F154),"",TRUNC(E154*F154,2)))</f>
        <v>57.34</v>
      </c>
    </row>
    <row r="155" spans="1:7" x14ac:dyDescent="0.25">
      <c r="A155" s="75"/>
      <c r="B155" s="75">
        <v>89995</v>
      </c>
      <c r="C155" s="75" t="s">
        <v>218</v>
      </c>
      <c r="D155" s="75" t="s">
        <v>34</v>
      </c>
      <c r="E155" s="78" t="s">
        <v>233</v>
      </c>
      <c r="F155" s="78" t="s">
        <v>220</v>
      </c>
      <c r="G155" s="79">
        <f>IF(OR(E155="",F155=""),"",IF(ISERROR(E155*F155),"",TRUNC(E155*F155,2)))</f>
        <v>77.069999999999993</v>
      </c>
    </row>
    <row r="156" spans="1:7" x14ac:dyDescent="0.25">
      <c r="A156" s="75"/>
      <c r="B156" s="75">
        <v>89996</v>
      </c>
      <c r="C156" s="75" t="s">
        <v>221</v>
      </c>
      <c r="D156" s="75" t="s">
        <v>52</v>
      </c>
      <c r="E156" s="78" t="s">
        <v>222</v>
      </c>
      <c r="F156" s="78" t="s">
        <v>223</v>
      </c>
      <c r="G156" s="79">
        <f>IF(OR(E156="",F156=""),"",IF(ISERROR(E156*F156),"",TRUNC(E156*F156,2)))</f>
        <v>23.61</v>
      </c>
    </row>
    <row r="157" spans="1:7" x14ac:dyDescent="0.25">
      <c r="A157" s="75"/>
      <c r="B157" s="75">
        <v>89998</v>
      </c>
      <c r="C157" s="75" t="s">
        <v>224</v>
      </c>
      <c r="D157" s="75" t="s">
        <v>52</v>
      </c>
      <c r="E157" s="78" t="s">
        <v>234</v>
      </c>
      <c r="F157" s="78" t="s">
        <v>226</v>
      </c>
      <c r="G157" s="79">
        <f>IF(OR(E157="",F157=""),"",IF(ISERROR(E157*F157),"",TRUNC(E157*F157,2)))</f>
        <v>38.24</v>
      </c>
    </row>
    <row r="158" spans="1:7" x14ac:dyDescent="0.25">
      <c r="A158" s="75"/>
      <c r="B158" s="75"/>
      <c r="C158" s="75"/>
      <c r="D158" s="75"/>
      <c r="E158" s="75"/>
      <c r="F158" s="75" t="s">
        <v>105</v>
      </c>
      <c r="G158" s="79">
        <f>TRUNC(G146 * ('PLANILHA ORÇAMENTARIA'!J2/100), 2)</f>
        <v>653.9</v>
      </c>
    </row>
    <row r="159" spans="1:7" x14ac:dyDescent="0.25">
      <c r="A159" s="80"/>
      <c r="B159" s="80"/>
      <c r="C159" s="80"/>
      <c r="D159" s="80" t="s">
        <v>43</v>
      </c>
      <c r="E159" s="80"/>
      <c r="F159" s="80"/>
      <c r="G159" s="81">
        <f>TRUNC(G146 + G158, 2)</f>
        <v>3337.13</v>
      </c>
    </row>
    <row r="160" spans="1:7" x14ac:dyDescent="0.25">
      <c r="A160" s="76">
        <v>4</v>
      </c>
      <c r="B160" s="76"/>
      <c r="C160" s="76" t="s">
        <v>236</v>
      </c>
      <c r="D160" s="76"/>
      <c r="E160" s="76"/>
      <c r="F160" s="76"/>
      <c r="G160" s="76"/>
    </row>
    <row r="161" spans="1:7" x14ac:dyDescent="0.25">
      <c r="A161" s="77">
        <v>4.0999999999999996</v>
      </c>
      <c r="B161" s="77"/>
      <c r="C161" s="77" t="s">
        <v>107</v>
      </c>
      <c r="D161" s="77"/>
      <c r="E161" s="77"/>
      <c r="F161" s="77"/>
      <c r="G161" s="77"/>
    </row>
    <row r="162" spans="1:7" x14ac:dyDescent="0.25">
      <c r="A162" s="75" t="s">
        <v>128</v>
      </c>
      <c r="B162" s="75">
        <v>88310</v>
      </c>
      <c r="C162" s="75" t="s">
        <v>237</v>
      </c>
      <c r="D162" s="75" t="s">
        <v>26</v>
      </c>
      <c r="E162" s="75"/>
      <c r="F162" s="75"/>
      <c r="G162" s="79">
        <f>SUM(G163:G171)</f>
        <v>25.919999999999995</v>
      </c>
    </row>
    <row r="163" spans="1:7" x14ac:dyDescent="0.25">
      <c r="A163" s="75"/>
      <c r="B163" s="75"/>
      <c r="C163" s="75"/>
      <c r="D163" s="75"/>
      <c r="E163" s="78" t="s">
        <v>60</v>
      </c>
      <c r="F163" s="78" t="s">
        <v>60</v>
      </c>
      <c r="G163" s="79" t="str">
        <f>IF(OR(E163="",F163=""),"",IF(ISERROR(E163*F163),"",TRUNC(E163*F163,2)))</f>
        <v/>
      </c>
    </row>
    <row r="164" spans="1:7" x14ac:dyDescent="0.25">
      <c r="A164" s="75"/>
      <c r="B164" s="75">
        <v>4783</v>
      </c>
      <c r="C164" s="75" t="s">
        <v>238</v>
      </c>
      <c r="D164" s="75" t="s">
        <v>26</v>
      </c>
      <c r="E164" s="78" t="s">
        <v>61</v>
      </c>
      <c r="F164" s="78" t="s">
        <v>77</v>
      </c>
      <c r="G164" s="79">
        <f>IF(OR(E164="",F164=""),"",IF(ISERROR(E164*F164),"",TRUNC(E164*F164,2)))</f>
        <v>17.57</v>
      </c>
    </row>
    <row r="165" spans="1:7" x14ac:dyDescent="0.25">
      <c r="A165" s="75"/>
      <c r="B165" s="75">
        <v>37370</v>
      </c>
      <c r="C165" s="75" t="s">
        <v>39</v>
      </c>
      <c r="D165" s="75" t="s">
        <v>26</v>
      </c>
      <c r="E165" s="78" t="s">
        <v>61</v>
      </c>
      <c r="F165" s="78" t="s">
        <v>63</v>
      </c>
      <c r="G165" s="79">
        <f>IF(OR(E165="",F165=""),"",IF(ISERROR(E165*F165),"",TRUNC(E165*F165,2)))</f>
        <v>2.4</v>
      </c>
    </row>
    <row r="166" spans="1:7" x14ac:dyDescent="0.25">
      <c r="A166" s="75"/>
      <c r="B166" s="75">
        <v>37371</v>
      </c>
      <c r="C166" s="75" t="s">
        <v>40</v>
      </c>
      <c r="D166" s="75" t="s">
        <v>26</v>
      </c>
      <c r="E166" s="78" t="s">
        <v>61</v>
      </c>
      <c r="F166" s="78" t="s">
        <v>64</v>
      </c>
      <c r="G166" s="79">
        <f>IF(OR(E166="",F166=""),"",IF(ISERROR(E166*F166),"",TRUNC(E166*F166,2)))</f>
        <v>0.57999999999999996</v>
      </c>
    </row>
    <row r="167" spans="1:7" x14ac:dyDescent="0.25">
      <c r="A167" s="75"/>
      <c r="B167" s="75">
        <v>37372</v>
      </c>
      <c r="C167" s="75" t="s">
        <v>41</v>
      </c>
      <c r="D167" s="75" t="s">
        <v>26</v>
      </c>
      <c r="E167" s="78" t="s">
        <v>61</v>
      </c>
      <c r="F167" s="78" t="s">
        <v>65</v>
      </c>
      <c r="G167" s="79">
        <f>IF(OR(E167="",F167=""),"",IF(ISERROR(E167*F167),"",TRUNC(E167*F167,2)))</f>
        <v>1.34</v>
      </c>
    </row>
    <row r="168" spans="1:7" x14ac:dyDescent="0.25">
      <c r="A168" s="75"/>
      <c r="B168" s="75">
        <v>37373</v>
      </c>
      <c r="C168" s="75" t="s">
        <v>42</v>
      </c>
      <c r="D168" s="75" t="s">
        <v>26</v>
      </c>
      <c r="E168" s="78" t="s">
        <v>61</v>
      </c>
      <c r="F168" s="78" t="s">
        <v>66</v>
      </c>
      <c r="G168" s="79">
        <f>IF(OR(E168="",F168=""),"",IF(ISERROR(E168*F168),"",TRUNC(E168*F168,2)))</f>
        <v>0.04</v>
      </c>
    </row>
    <row r="169" spans="1:7" x14ac:dyDescent="0.25">
      <c r="A169" s="75"/>
      <c r="B169" s="75">
        <v>43466</v>
      </c>
      <c r="C169" s="75" t="s">
        <v>56</v>
      </c>
      <c r="D169" s="75" t="s">
        <v>26</v>
      </c>
      <c r="E169" s="78" t="s">
        <v>61</v>
      </c>
      <c r="F169" s="78" t="s">
        <v>78</v>
      </c>
      <c r="G169" s="79">
        <f>IF(OR(E169="",F169=""),"",IF(ISERROR(E169*F169),"",TRUNC(E169*F169,2)))</f>
        <v>1.97</v>
      </c>
    </row>
    <row r="170" spans="1:7" x14ac:dyDescent="0.25">
      <c r="A170" s="75"/>
      <c r="B170" s="75">
        <v>43490</v>
      </c>
      <c r="C170" s="75" t="s">
        <v>57</v>
      </c>
      <c r="D170" s="75" t="s">
        <v>26</v>
      </c>
      <c r="E170" s="78" t="s">
        <v>61</v>
      </c>
      <c r="F170" s="78" t="s">
        <v>79</v>
      </c>
      <c r="G170" s="79">
        <f>IF(OR(E170="",F170=""),"",IF(ISERROR(E170*F170),"",TRUNC(E170*F170,2)))</f>
        <v>1.73</v>
      </c>
    </row>
    <row r="171" spans="1:7" x14ac:dyDescent="0.25">
      <c r="A171" s="75"/>
      <c r="B171" s="75">
        <v>95372</v>
      </c>
      <c r="C171" s="75" t="s">
        <v>239</v>
      </c>
      <c r="D171" s="75" t="s">
        <v>26</v>
      </c>
      <c r="E171" s="78" t="s">
        <v>61</v>
      </c>
      <c r="F171" s="78" t="s">
        <v>80</v>
      </c>
      <c r="G171" s="79">
        <f>IF(OR(E171="",F171=""),"",IF(ISERROR(E171*F171),"",TRUNC(E171*F171,2)))</f>
        <v>0.28999999999999998</v>
      </c>
    </row>
    <row r="172" spans="1:7" x14ac:dyDescent="0.25">
      <c r="A172" s="75"/>
      <c r="B172" s="75"/>
      <c r="C172" s="75"/>
      <c r="D172" s="75"/>
      <c r="E172" s="75"/>
      <c r="F172" s="75" t="s">
        <v>105</v>
      </c>
      <c r="G172" s="79">
        <f>TRUNC(G162 * ('PLANILHA ORÇAMENTARIA'!J2/100), 2)</f>
        <v>6.31</v>
      </c>
    </row>
    <row r="173" spans="1:7" x14ac:dyDescent="0.25">
      <c r="A173" s="80"/>
      <c r="B173" s="80"/>
      <c r="C173" s="80"/>
      <c r="D173" s="80" t="s">
        <v>43</v>
      </c>
      <c r="E173" s="80"/>
      <c r="F173" s="80"/>
      <c r="G173" s="81">
        <f>TRUNC(G162 + G172, 2)</f>
        <v>32.229999999999997</v>
      </c>
    </row>
    <row r="174" spans="1:7" x14ac:dyDescent="0.25">
      <c r="A174" s="75" t="s">
        <v>129</v>
      </c>
      <c r="B174" s="75">
        <v>97171</v>
      </c>
      <c r="C174" s="75" t="s">
        <v>240</v>
      </c>
      <c r="D174" s="75" t="s">
        <v>112</v>
      </c>
      <c r="E174" s="75"/>
      <c r="F174" s="75"/>
      <c r="G174" s="79">
        <f>SUM(G175:G180)</f>
        <v>32.76</v>
      </c>
    </row>
    <row r="175" spans="1:7" x14ac:dyDescent="0.25">
      <c r="A175" s="75"/>
      <c r="B175" s="75"/>
      <c r="C175" s="75"/>
      <c r="D175" s="75"/>
      <c r="E175" s="78" t="s">
        <v>60</v>
      </c>
      <c r="F175" s="78" t="s">
        <v>60</v>
      </c>
      <c r="G175" s="79" t="str">
        <f>IF(OR(E175="",F175=""),"",IF(ISERROR(E175*F175),"",TRUNC(E175*F175,2)))</f>
        <v/>
      </c>
    </row>
    <row r="176" spans="1:7" x14ac:dyDescent="0.25">
      <c r="A176" s="75"/>
      <c r="B176" s="75">
        <v>5631</v>
      </c>
      <c r="C176" s="75" t="s">
        <v>243</v>
      </c>
      <c r="D176" s="75" t="s">
        <v>48</v>
      </c>
      <c r="E176" s="78" t="s">
        <v>244</v>
      </c>
      <c r="F176" s="78" t="s">
        <v>245</v>
      </c>
      <c r="G176" s="79">
        <f>IF(OR(E176="",F176=""),"",IF(ISERROR(E176*F176),"",TRUNC(E176*F176,2)))</f>
        <v>6.51</v>
      </c>
    </row>
    <row r="177" spans="1:7" x14ac:dyDescent="0.25">
      <c r="A177" s="75"/>
      <c r="B177" s="75">
        <v>5632</v>
      </c>
      <c r="C177" s="75" t="s">
        <v>246</v>
      </c>
      <c r="D177" s="75" t="s">
        <v>49</v>
      </c>
      <c r="E177" s="78" t="s">
        <v>247</v>
      </c>
      <c r="F177" s="78" t="s">
        <v>248</v>
      </c>
      <c r="G177" s="79">
        <f>IF(OR(E177="",F177=""),"",IF(ISERROR(E177*F177),"",TRUNC(E177*F177,2)))</f>
        <v>6.62</v>
      </c>
    </row>
    <row r="178" spans="1:7" x14ac:dyDescent="0.25">
      <c r="A178" s="75"/>
      <c r="B178" s="75">
        <v>20078</v>
      </c>
      <c r="C178" s="75" t="s">
        <v>119</v>
      </c>
      <c r="D178" s="75" t="s">
        <v>32</v>
      </c>
      <c r="E178" s="78" t="s">
        <v>249</v>
      </c>
      <c r="F178" s="78" t="s">
        <v>121</v>
      </c>
      <c r="G178" s="79">
        <f>IF(OR(E178="",F178=""),"",IF(ISERROR(E178*F178),"",TRUNC(E178*F178,2)))</f>
        <v>0.95</v>
      </c>
    </row>
    <row r="179" spans="1:7" x14ac:dyDescent="0.25">
      <c r="A179" s="75"/>
      <c r="B179" s="75">
        <v>88246</v>
      </c>
      <c r="C179" s="75" t="s">
        <v>122</v>
      </c>
      <c r="D179" s="75" t="s">
        <v>26</v>
      </c>
      <c r="E179" s="78" t="s">
        <v>250</v>
      </c>
      <c r="F179" s="78" t="s">
        <v>124</v>
      </c>
      <c r="G179" s="79">
        <f>IF(OR(E179="",F179=""),"",IF(ISERROR(E179*F179),"",TRUNC(E179*F179,2)))</f>
        <v>11.61</v>
      </c>
    </row>
    <row r="180" spans="1:7" x14ac:dyDescent="0.25">
      <c r="A180" s="75"/>
      <c r="B180" s="75">
        <v>88316</v>
      </c>
      <c r="C180" s="75" t="s">
        <v>50</v>
      </c>
      <c r="D180" s="75" t="s">
        <v>26</v>
      </c>
      <c r="E180" s="78" t="s">
        <v>251</v>
      </c>
      <c r="F180" s="78" t="s">
        <v>70</v>
      </c>
      <c r="G180" s="79">
        <f>IF(OR(E180="",F180=""),"",IF(ISERROR(E180*F180),"",TRUNC(E180*F180,2)))</f>
        <v>7.07</v>
      </c>
    </row>
    <row r="181" spans="1:7" x14ac:dyDescent="0.25">
      <c r="A181" s="75"/>
      <c r="B181" s="75"/>
      <c r="C181" s="75"/>
      <c r="D181" s="75"/>
      <c r="E181" s="75"/>
      <c r="F181" s="75" t="s">
        <v>105</v>
      </c>
      <c r="G181" s="79">
        <f>TRUNC(G174 * ('PLANILHA ORÇAMENTARIA'!J2/100), 2)</f>
        <v>7.98</v>
      </c>
    </row>
    <row r="182" spans="1:7" x14ac:dyDescent="0.25">
      <c r="A182" s="80"/>
      <c r="B182" s="80"/>
      <c r="C182" s="80"/>
      <c r="D182" s="80" t="s">
        <v>43</v>
      </c>
      <c r="E182" s="80"/>
      <c r="F182" s="80"/>
      <c r="G182" s="81">
        <f>TRUNC(G174 + G181, 2)</f>
        <v>40.74</v>
      </c>
    </row>
    <row r="183" spans="1:7" x14ac:dyDescent="0.25">
      <c r="A183" s="75" t="s">
        <v>135</v>
      </c>
      <c r="B183" s="75">
        <v>97162</v>
      </c>
      <c r="C183" s="75" t="s">
        <v>241</v>
      </c>
      <c r="D183" s="75" t="s">
        <v>112</v>
      </c>
      <c r="E183" s="75"/>
      <c r="F183" s="75"/>
      <c r="G183" s="79">
        <f>SUM(G184:G189)</f>
        <v>9.5299999999999994</v>
      </c>
    </row>
    <row r="184" spans="1:7" x14ac:dyDescent="0.25">
      <c r="A184" s="75"/>
      <c r="B184" s="75"/>
      <c r="C184" s="75"/>
      <c r="D184" s="75"/>
      <c r="E184" s="78" t="s">
        <v>60</v>
      </c>
      <c r="F184" s="78" t="s">
        <v>60</v>
      </c>
      <c r="G184" s="79" t="str">
        <f>IF(OR(E184="",F184=""),"",IF(ISERROR(E184*F184),"",TRUNC(E184*F184,2)))</f>
        <v/>
      </c>
    </row>
    <row r="185" spans="1:7" x14ac:dyDescent="0.25">
      <c r="A185" s="75"/>
      <c r="B185" s="75">
        <v>5678</v>
      </c>
      <c r="C185" s="75" t="s">
        <v>113</v>
      </c>
      <c r="D185" s="75" t="s">
        <v>48</v>
      </c>
      <c r="E185" s="78" t="s">
        <v>252</v>
      </c>
      <c r="F185" s="78" t="s">
        <v>115</v>
      </c>
      <c r="G185" s="79">
        <f>IF(OR(E185="",F185=""),"",IF(ISERROR(E185*F185),"",TRUNC(E185*F185,2)))</f>
        <v>1.79</v>
      </c>
    </row>
    <row r="186" spans="1:7" x14ac:dyDescent="0.25">
      <c r="A186" s="75"/>
      <c r="B186" s="75">
        <v>5679</v>
      </c>
      <c r="C186" s="75" t="s">
        <v>116</v>
      </c>
      <c r="D186" s="75" t="s">
        <v>49</v>
      </c>
      <c r="E186" s="78" t="s">
        <v>253</v>
      </c>
      <c r="F186" s="78" t="s">
        <v>118</v>
      </c>
      <c r="G186" s="79">
        <f>IF(OR(E186="",F186=""),"",IF(ISERROR(E186*F186),"",TRUNC(E186*F186,2)))</f>
        <v>1.87</v>
      </c>
    </row>
    <row r="187" spans="1:7" x14ac:dyDescent="0.25">
      <c r="A187" s="75"/>
      <c r="B187" s="75">
        <v>20078</v>
      </c>
      <c r="C187" s="75" t="s">
        <v>119</v>
      </c>
      <c r="D187" s="75" t="s">
        <v>32</v>
      </c>
      <c r="E187" s="78" t="s">
        <v>254</v>
      </c>
      <c r="F187" s="78" t="s">
        <v>121</v>
      </c>
      <c r="G187" s="79">
        <f>IF(OR(E187="",F187=""),"",IF(ISERROR(E187*F187),"",TRUNC(E187*F187,2)))</f>
        <v>0.32</v>
      </c>
    </row>
    <row r="188" spans="1:7" x14ac:dyDescent="0.25">
      <c r="A188" s="75"/>
      <c r="B188" s="75">
        <v>88246</v>
      </c>
      <c r="C188" s="75" t="s">
        <v>122</v>
      </c>
      <c r="D188" s="75" t="s">
        <v>26</v>
      </c>
      <c r="E188" s="78" t="s">
        <v>255</v>
      </c>
      <c r="F188" s="78" t="s">
        <v>124</v>
      </c>
      <c r="G188" s="79">
        <f>IF(OR(E188="",F188=""),"",IF(ISERROR(E188*F188),"",TRUNC(E188*F188,2)))</f>
        <v>3.45</v>
      </c>
    </row>
    <row r="189" spans="1:7" x14ac:dyDescent="0.25">
      <c r="A189" s="75"/>
      <c r="B189" s="75">
        <v>88316</v>
      </c>
      <c r="C189" s="75" t="s">
        <v>50</v>
      </c>
      <c r="D189" s="75" t="s">
        <v>26</v>
      </c>
      <c r="E189" s="78" t="s">
        <v>256</v>
      </c>
      <c r="F189" s="78" t="s">
        <v>70</v>
      </c>
      <c r="G189" s="79">
        <f>IF(OR(E189="",F189=""),"",IF(ISERROR(E189*F189),"",TRUNC(E189*F189,2)))</f>
        <v>2.1</v>
      </c>
    </row>
    <row r="190" spans="1:7" x14ac:dyDescent="0.25">
      <c r="A190" s="75"/>
      <c r="B190" s="75"/>
      <c r="C190" s="75"/>
      <c r="D190" s="75"/>
      <c r="E190" s="75"/>
      <c r="F190" s="75" t="s">
        <v>105</v>
      </c>
      <c r="G190" s="79">
        <f>TRUNC(G183 * ('PLANILHA ORÇAMENTARIA'!J2/100), 2)</f>
        <v>2.3199999999999998</v>
      </c>
    </row>
    <row r="191" spans="1:7" x14ac:dyDescent="0.25">
      <c r="A191" s="80"/>
      <c r="B191" s="80"/>
      <c r="C191" s="80"/>
      <c r="D191" s="80" t="s">
        <v>43</v>
      </c>
      <c r="E191" s="80"/>
      <c r="F191" s="80"/>
      <c r="G191" s="81">
        <f>TRUNC(G183 + G190, 2)</f>
        <v>11.85</v>
      </c>
    </row>
    <row r="192" spans="1:7" x14ac:dyDescent="0.25">
      <c r="A192" s="75" t="s">
        <v>136</v>
      </c>
      <c r="B192" s="75">
        <v>88321</v>
      </c>
      <c r="C192" s="75" t="s">
        <v>242</v>
      </c>
      <c r="D192" s="75" t="s">
        <v>26</v>
      </c>
      <c r="E192" s="75"/>
      <c r="F192" s="75"/>
      <c r="G192" s="79">
        <f>SUM(G193:G199)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4691E-2980-45F9-A339-3F1BBA5D84F7}">
  <sheetPr codeName="Planilha2"/>
  <dimension ref="A1:J201"/>
  <sheetViews>
    <sheetView showGridLines="0" tabSelected="1" topLeftCell="A172" workbookViewId="0">
      <selection activeCell="I196" sqref="I196"/>
    </sheetView>
  </sheetViews>
  <sheetFormatPr defaultRowHeight="15" x14ac:dyDescent="0.25"/>
  <cols>
    <col min="1" max="1" width="5.140625" style="75" bestFit="1" customWidth="1"/>
    <col min="2" max="2" width="7.140625" style="75" bestFit="1" customWidth="1"/>
    <col min="3" max="3" width="37.140625" style="75" customWidth="1"/>
    <col min="4" max="4" width="9.140625" style="75"/>
    <col min="5" max="5" width="13.7109375" style="75" bestFit="1" customWidth="1"/>
    <col min="6" max="6" width="10.7109375" style="75" bestFit="1" customWidth="1"/>
    <col min="7" max="7" width="10.28515625" style="75" bestFit="1" customWidth="1"/>
    <col min="8" max="16384" width="9.140625" style="75"/>
  </cols>
  <sheetData>
    <row r="1" spans="1:10" s="34" customFormat="1" ht="63" customHeight="1" x14ac:dyDescent="0.2">
      <c r="A1" s="38"/>
      <c r="B1" s="38"/>
      <c r="C1" s="38"/>
      <c r="E1" s="50"/>
      <c r="F1" s="44"/>
      <c r="G1" s="44"/>
      <c r="H1" s="35"/>
      <c r="I1" s="35"/>
      <c r="J1" s="35"/>
    </row>
    <row r="2" spans="1:10" s="34" customFormat="1" ht="12" x14ac:dyDescent="0.2">
      <c r="A2" s="38"/>
      <c r="B2" s="39" t="s">
        <v>0</v>
      </c>
      <c r="C2" s="39" t="str">
        <f>'PLANILHA ORÇAMENTARIA'!C2</f>
        <v xml:space="preserve">PAVIMENTAÇÃO EM ESTRADAS VICINAIS </v>
      </c>
      <c r="D2" s="37"/>
      <c r="E2" s="51"/>
      <c r="F2" s="45" t="s">
        <v>17</v>
      </c>
      <c r="G2" s="40">
        <f>'PLANILHA ORÇAMENTARIA'!J2</f>
        <v>24.37</v>
      </c>
    </row>
    <row r="3" spans="1:10" s="34" customFormat="1" ht="12" x14ac:dyDescent="0.2">
      <c r="A3" s="38"/>
      <c r="B3" s="39" t="s">
        <v>2</v>
      </c>
      <c r="C3" s="39" t="str">
        <f>'PLANILHA ORÇAMENTARIA'!C3</f>
        <v>RAFAEL GODEIRO</v>
      </c>
      <c r="D3" s="37"/>
      <c r="E3" s="51"/>
      <c r="F3" s="45"/>
      <c r="G3" s="45"/>
    </row>
    <row r="4" spans="1:10" s="34" customFormat="1" ht="12" x14ac:dyDescent="0.2">
      <c r="A4" s="38"/>
      <c r="B4" s="39" t="s">
        <v>4</v>
      </c>
      <c r="C4" s="54">
        <f>'PLANILHA ORÇAMENTARIA'!C4</f>
        <v>45765</v>
      </c>
      <c r="D4" s="37"/>
      <c r="E4" s="51"/>
      <c r="F4" s="45" t="s">
        <v>5</v>
      </c>
      <c r="G4" s="45" t="str">
        <f>'PLANILHA ORÇAMENTARIA'!J4</f>
        <v>CE01-2025</v>
      </c>
    </row>
    <row r="5" spans="1:10" s="34" customFormat="1" ht="12" x14ac:dyDescent="0.2">
      <c r="A5" s="38"/>
      <c r="B5" s="38"/>
      <c r="C5" s="38"/>
      <c r="E5" s="50"/>
      <c r="F5" s="44"/>
      <c r="G5" s="44"/>
      <c r="H5" s="35"/>
      <c r="I5" s="35"/>
      <c r="J5" s="35"/>
    </row>
    <row r="6" spans="1:10" s="34" customFormat="1" ht="12" x14ac:dyDescent="0.2">
      <c r="A6" s="38"/>
      <c r="B6" s="38"/>
      <c r="C6" s="38"/>
      <c r="E6" s="50"/>
      <c r="F6" s="44"/>
      <c r="G6" s="44">
        <f>'PLANILHA ORÇAMENTARIA'!J5</f>
        <v>310878.89</v>
      </c>
      <c r="H6" s="35"/>
      <c r="I6" s="35"/>
      <c r="J6" s="35"/>
    </row>
    <row r="7" spans="1:10" s="37" customFormat="1" ht="12" x14ac:dyDescent="0.2">
      <c r="A7" s="41"/>
      <c r="B7" s="41"/>
      <c r="C7" s="41"/>
      <c r="D7" s="42"/>
      <c r="E7" s="52"/>
      <c r="F7" s="46"/>
      <c r="G7" s="46"/>
      <c r="H7" s="36"/>
      <c r="I7" s="36"/>
      <c r="J7" s="36"/>
    </row>
    <row r="8" spans="1:10" s="37" customFormat="1" ht="12" x14ac:dyDescent="0.2">
      <c r="A8" s="55" t="s">
        <v>7</v>
      </c>
      <c r="B8" s="43" t="s">
        <v>27</v>
      </c>
      <c r="C8" s="55" t="s">
        <v>10</v>
      </c>
      <c r="D8" s="43" t="s">
        <v>28</v>
      </c>
      <c r="E8" s="53" t="s">
        <v>29</v>
      </c>
      <c r="F8" s="47" t="s">
        <v>30</v>
      </c>
      <c r="G8" s="47" t="s">
        <v>31</v>
      </c>
    </row>
    <row r="10" spans="1:10" x14ac:dyDescent="0.25">
      <c r="A10" s="76">
        <v>1</v>
      </c>
      <c r="B10" s="76"/>
      <c r="C10" s="76" t="s">
        <v>106</v>
      </c>
      <c r="D10" s="76"/>
      <c r="E10" s="76"/>
      <c r="F10" s="76"/>
      <c r="G10" s="76"/>
    </row>
    <row r="11" spans="1:10" x14ac:dyDescent="0.25">
      <c r="A11" s="77">
        <v>1.1000000000000001</v>
      </c>
      <c r="B11" s="77"/>
      <c r="C11" s="77" t="s">
        <v>107</v>
      </c>
      <c r="D11" s="77"/>
      <c r="E11" s="77"/>
      <c r="F11" s="77"/>
      <c r="G11" s="77"/>
    </row>
    <row r="12" spans="1:10" x14ac:dyDescent="0.25">
      <c r="A12" s="75" t="s">
        <v>22</v>
      </c>
      <c r="B12" s="75">
        <v>88309</v>
      </c>
      <c r="C12" s="75" t="s">
        <v>25</v>
      </c>
      <c r="D12" s="75" t="s">
        <v>26</v>
      </c>
      <c r="G12" s="79">
        <f>SUM(G13:G21)</f>
        <v>23.019999999999996</v>
      </c>
    </row>
    <row r="13" spans="1:10" x14ac:dyDescent="0.25">
      <c r="E13" s="78" t="s">
        <v>60</v>
      </c>
      <c r="F13" s="78" t="s">
        <v>60</v>
      </c>
      <c r="G13" s="79" t="str">
        <f>IF(OR(E13="",F13=""),"",IF(ISERROR(E13*F13),"",TRUNC(E13*F13,2)))</f>
        <v/>
      </c>
    </row>
    <row r="14" spans="1:10" x14ac:dyDescent="0.25">
      <c r="B14" s="75">
        <v>4750</v>
      </c>
      <c r="C14" s="75" t="s">
        <v>44</v>
      </c>
      <c r="D14" s="75" t="s">
        <v>26</v>
      </c>
      <c r="E14" s="78" t="s">
        <v>61</v>
      </c>
      <c r="F14" s="78" t="s">
        <v>62</v>
      </c>
      <c r="G14" s="79">
        <f>IF(OR(E14="",F14=""),"",IF(ISERROR(E14*F14),"",TRUNC(E14*F14,2)))</f>
        <v>16.21</v>
      </c>
    </row>
    <row r="15" spans="1:10" x14ac:dyDescent="0.25">
      <c r="B15" s="75">
        <v>37370</v>
      </c>
      <c r="C15" s="75" t="s">
        <v>39</v>
      </c>
      <c r="D15" s="75" t="s">
        <v>26</v>
      </c>
      <c r="E15" s="78" t="s">
        <v>61</v>
      </c>
      <c r="F15" s="78" t="s">
        <v>63</v>
      </c>
      <c r="G15" s="79">
        <f>IF(OR(E15="",F15=""),"",IF(ISERROR(E15*F15),"",TRUNC(E15*F15,2)))</f>
        <v>2.4</v>
      </c>
    </row>
    <row r="16" spans="1:10" x14ac:dyDescent="0.25">
      <c r="B16" s="75">
        <v>37371</v>
      </c>
      <c r="C16" s="75" t="s">
        <v>40</v>
      </c>
      <c r="D16" s="75" t="s">
        <v>26</v>
      </c>
      <c r="E16" s="78" t="s">
        <v>61</v>
      </c>
      <c r="F16" s="78" t="s">
        <v>64</v>
      </c>
      <c r="G16" s="79">
        <f>IF(OR(E16="",F16=""),"",IF(ISERROR(E16*F16),"",TRUNC(E16*F16,2)))</f>
        <v>0.57999999999999996</v>
      </c>
    </row>
    <row r="17" spans="1:7" x14ac:dyDescent="0.25">
      <c r="B17" s="75">
        <v>37372</v>
      </c>
      <c r="C17" s="75" t="s">
        <v>41</v>
      </c>
      <c r="D17" s="75" t="s">
        <v>26</v>
      </c>
      <c r="E17" s="78" t="s">
        <v>61</v>
      </c>
      <c r="F17" s="78" t="s">
        <v>65</v>
      </c>
      <c r="G17" s="79">
        <f>IF(OR(E17="",F17=""),"",IF(ISERROR(E17*F17),"",TRUNC(E17*F17,2)))</f>
        <v>1.34</v>
      </c>
    </row>
    <row r="18" spans="1:7" x14ac:dyDescent="0.25">
      <c r="B18" s="75">
        <v>37373</v>
      </c>
      <c r="C18" s="75" t="s">
        <v>42</v>
      </c>
      <c r="D18" s="75" t="s">
        <v>26</v>
      </c>
      <c r="E18" s="78" t="s">
        <v>61</v>
      </c>
      <c r="F18" s="78" t="s">
        <v>66</v>
      </c>
      <c r="G18" s="79">
        <f>IF(OR(E18="",F18=""),"",IF(ISERROR(E18*F18),"",TRUNC(E18*F18,2)))</f>
        <v>0.04</v>
      </c>
    </row>
    <row r="19" spans="1:7" x14ac:dyDescent="0.25">
      <c r="B19" s="75">
        <v>43465</v>
      </c>
      <c r="C19" s="75" t="s">
        <v>45</v>
      </c>
      <c r="D19" s="75" t="s">
        <v>26</v>
      </c>
      <c r="E19" s="78" t="s">
        <v>61</v>
      </c>
      <c r="F19" s="78" t="s">
        <v>67</v>
      </c>
      <c r="G19" s="79">
        <f>IF(OR(E19="",F19=""),"",IF(ISERROR(E19*F19),"",TRUNC(E19*F19,2)))</f>
        <v>0.82</v>
      </c>
    </row>
    <row r="20" spans="1:7" x14ac:dyDescent="0.25">
      <c r="B20" s="75">
        <v>43489</v>
      </c>
      <c r="C20" s="75" t="s">
        <v>46</v>
      </c>
      <c r="D20" s="75" t="s">
        <v>26</v>
      </c>
      <c r="E20" s="78" t="s">
        <v>61</v>
      </c>
      <c r="F20" s="78" t="s">
        <v>68</v>
      </c>
      <c r="G20" s="79">
        <f>IF(OR(E20="",F20=""),"",IF(ISERROR(E20*F20),"",TRUNC(E20*F20,2)))</f>
        <v>1.24</v>
      </c>
    </row>
    <row r="21" spans="1:7" x14ac:dyDescent="0.25">
      <c r="B21" s="75">
        <v>95371</v>
      </c>
      <c r="C21" s="75" t="s">
        <v>47</v>
      </c>
      <c r="D21" s="75" t="s">
        <v>26</v>
      </c>
      <c r="E21" s="78" t="s">
        <v>61</v>
      </c>
      <c r="F21" s="78" t="s">
        <v>69</v>
      </c>
      <c r="G21" s="79">
        <f>IF(OR(E21="",F21=""),"",IF(ISERROR(E21*F21),"",TRUNC(E21*F21,2)))</f>
        <v>0.39</v>
      </c>
    </row>
    <row r="22" spans="1:7" x14ac:dyDescent="0.25">
      <c r="F22" s="75" t="s">
        <v>105</v>
      </c>
      <c r="G22" s="79">
        <f>TRUNC(G12 * ('PLANILHA ORÇAMENTARIA'!J2/100), 2)</f>
        <v>5.6</v>
      </c>
    </row>
    <row r="23" spans="1:7" x14ac:dyDescent="0.25">
      <c r="A23" s="80"/>
      <c r="B23" s="80"/>
      <c r="C23" s="80"/>
      <c r="D23" s="80" t="s">
        <v>43</v>
      </c>
      <c r="E23" s="80"/>
      <c r="F23" s="80"/>
      <c r="G23" s="81">
        <f>TRUNC(G12 + G22, 2)</f>
        <v>28.62</v>
      </c>
    </row>
    <row r="24" spans="1:7" x14ac:dyDescent="0.25">
      <c r="A24" s="75" t="s">
        <v>24</v>
      </c>
      <c r="B24" s="75">
        <v>88316</v>
      </c>
      <c r="C24" s="75" t="s">
        <v>50</v>
      </c>
      <c r="D24" s="75" t="s">
        <v>26</v>
      </c>
      <c r="G24" s="79">
        <f>SUM(G25:G33)</f>
        <v>18.729999999999997</v>
      </c>
    </row>
    <row r="25" spans="1:7" x14ac:dyDescent="0.25">
      <c r="E25" s="78" t="s">
        <v>60</v>
      </c>
      <c r="F25" s="78" t="s">
        <v>60</v>
      </c>
      <c r="G25" s="79" t="str">
        <f>IF(OR(E25="",F25=""),"",IF(ISERROR(E25*F25),"",TRUNC(E25*F25,2)))</f>
        <v/>
      </c>
    </row>
    <row r="26" spans="1:7" x14ac:dyDescent="0.25">
      <c r="B26" s="75">
        <v>6111</v>
      </c>
      <c r="C26" s="75" t="s">
        <v>93</v>
      </c>
      <c r="D26" s="75" t="s">
        <v>26</v>
      </c>
      <c r="E26" s="78" t="s">
        <v>61</v>
      </c>
      <c r="F26" s="78" t="s">
        <v>94</v>
      </c>
      <c r="G26" s="79">
        <f>IF(OR(E26="",F26=""),"",IF(ISERROR(E26*F26),"",TRUNC(E26*F26,2)))</f>
        <v>12.14</v>
      </c>
    </row>
    <row r="27" spans="1:7" x14ac:dyDescent="0.25">
      <c r="B27" s="75">
        <v>37370</v>
      </c>
      <c r="C27" s="75" t="s">
        <v>39</v>
      </c>
      <c r="D27" s="75" t="s">
        <v>26</v>
      </c>
      <c r="E27" s="78" t="s">
        <v>61</v>
      </c>
      <c r="F27" s="78" t="s">
        <v>63</v>
      </c>
      <c r="G27" s="79">
        <f>IF(OR(E27="",F27=""),"",IF(ISERROR(E27*F27),"",TRUNC(E27*F27,2)))</f>
        <v>2.4</v>
      </c>
    </row>
    <row r="28" spans="1:7" x14ac:dyDescent="0.25">
      <c r="B28" s="75">
        <v>37371</v>
      </c>
      <c r="C28" s="75" t="s">
        <v>40</v>
      </c>
      <c r="D28" s="75" t="s">
        <v>26</v>
      </c>
      <c r="E28" s="78" t="s">
        <v>61</v>
      </c>
      <c r="F28" s="78" t="s">
        <v>64</v>
      </c>
      <c r="G28" s="79">
        <f>IF(OR(E28="",F28=""),"",IF(ISERROR(E28*F28),"",TRUNC(E28*F28,2)))</f>
        <v>0.57999999999999996</v>
      </c>
    </row>
    <row r="29" spans="1:7" x14ac:dyDescent="0.25">
      <c r="B29" s="75">
        <v>37372</v>
      </c>
      <c r="C29" s="75" t="s">
        <v>41</v>
      </c>
      <c r="D29" s="75" t="s">
        <v>26</v>
      </c>
      <c r="E29" s="78" t="s">
        <v>61</v>
      </c>
      <c r="F29" s="78" t="s">
        <v>65</v>
      </c>
      <c r="G29" s="79">
        <f>IF(OR(E29="",F29=""),"",IF(ISERROR(E29*F29),"",TRUNC(E29*F29,2)))</f>
        <v>1.34</v>
      </c>
    </row>
    <row r="30" spans="1:7" x14ac:dyDescent="0.25">
      <c r="B30" s="75">
        <v>37373</v>
      </c>
      <c r="C30" s="75" t="s">
        <v>42</v>
      </c>
      <c r="D30" s="75" t="s">
        <v>26</v>
      </c>
      <c r="E30" s="78" t="s">
        <v>61</v>
      </c>
      <c r="F30" s="78" t="s">
        <v>66</v>
      </c>
      <c r="G30" s="79">
        <f>IF(OR(E30="",F30=""),"",IF(ISERROR(E30*F30),"",TRUNC(E30*F30,2)))</f>
        <v>0.04</v>
      </c>
    </row>
    <row r="31" spans="1:7" x14ac:dyDescent="0.25">
      <c r="B31" s="75">
        <v>43467</v>
      </c>
      <c r="C31" s="75" t="s">
        <v>95</v>
      </c>
      <c r="D31" s="75" t="s">
        <v>26</v>
      </c>
      <c r="E31" s="78" t="s">
        <v>61</v>
      </c>
      <c r="F31" s="78" t="s">
        <v>96</v>
      </c>
      <c r="G31" s="79">
        <f>IF(OR(E31="",F31=""),"",IF(ISERROR(E31*F31),"",TRUNC(E31*F31,2)))</f>
        <v>0.61</v>
      </c>
    </row>
    <row r="32" spans="1:7" x14ac:dyDescent="0.25">
      <c r="B32" s="75">
        <v>43491</v>
      </c>
      <c r="C32" s="75" t="s">
        <v>97</v>
      </c>
      <c r="D32" s="75" t="s">
        <v>26</v>
      </c>
      <c r="E32" s="78" t="s">
        <v>61</v>
      </c>
      <c r="F32" s="78" t="s">
        <v>98</v>
      </c>
      <c r="G32" s="79">
        <f>IF(OR(E32="",F32=""),"",IF(ISERROR(E32*F32),"",TRUNC(E32*F32,2)))</f>
        <v>1.33</v>
      </c>
    </row>
    <row r="33" spans="1:7" x14ac:dyDescent="0.25">
      <c r="B33" s="75">
        <v>95378</v>
      </c>
      <c r="C33" s="75" t="s">
        <v>99</v>
      </c>
      <c r="D33" s="75" t="s">
        <v>26</v>
      </c>
      <c r="E33" s="78" t="s">
        <v>61</v>
      </c>
      <c r="F33" s="78" t="s">
        <v>80</v>
      </c>
      <c r="G33" s="79">
        <f>IF(OR(E33="",F33=""),"",IF(ISERROR(E33*F33),"",TRUNC(E33*F33,2)))</f>
        <v>0.28999999999999998</v>
      </c>
    </row>
    <row r="34" spans="1:7" x14ac:dyDescent="0.25">
      <c r="F34" s="75" t="s">
        <v>105</v>
      </c>
      <c r="G34" s="79">
        <f>TRUNC(G24 * ('PLANILHA ORÇAMENTARIA'!J2/100), 2)</f>
        <v>4.5599999999999996</v>
      </c>
    </row>
    <row r="35" spans="1:7" x14ac:dyDescent="0.25">
      <c r="A35" s="80"/>
      <c r="B35" s="80"/>
      <c r="C35" s="80"/>
      <c r="D35" s="80" t="s">
        <v>43</v>
      </c>
      <c r="E35" s="80"/>
      <c r="F35" s="80"/>
      <c r="G35" s="81">
        <f>TRUNC(G24 + G34, 2)</f>
        <v>23.29</v>
      </c>
    </row>
    <row r="36" spans="1:7" x14ac:dyDescent="0.25">
      <c r="A36" s="75" t="s">
        <v>137</v>
      </c>
      <c r="B36" s="75">
        <v>88404</v>
      </c>
      <c r="C36" s="75" t="s">
        <v>148</v>
      </c>
      <c r="D36" s="75" t="s">
        <v>49</v>
      </c>
      <c r="G36" s="79">
        <f>SUM(G37:G39)</f>
        <v>0.93</v>
      </c>
    </row>
    <row r="37" spans="1:7" x14ac:dyDescent="0.25">
      <c r="E37" s="78" t="s">
        <v>60</v>
      </c>
      <c r="F37" s="78" t="s">
        <v>60</v>
      </c>
      <c r="G37" s="79" t="str">
        <f>IF(OR(E37="",F37=""),"",IF(ISERROR(E37*F37),"",TRUNC(E37*F37,2)))</f>
        <v/>
      </c>
    </row>
    <row r="38" spans="1:7" x14ac:dyDescent="0.25">
      <c r="B38" s="75">
        <v>88400</v>
      </c>
      <c r="C38" s="75" t="s">
        <v>154</v>
      </c>
      <c r="D38" s="75" t="s">
        <v>26</v>
      </c>
      <c r="E38" s="78" t="s">
        <v>61</v>
      </c>
      <c r="F38" s="78" t="s">
        <v>155</v>
      </c>
      <c r="G38" s="79">
        <f>IF(OR(E38="",F38=""),"",IF(ISERROR(E38*F38),"",TRUNC(E38*F38,2)))</f>
        <v>0.76</v>
      </c>
    </row>
    <row r="39" spans="1:7" x14ac:dyDescent="0.25">
      <c r="B39" s="75">
        <v>88401</v>
      </c>
      <c r="C39" s="75" t="s">
        <v>156</v>
      </c>
      <c r="D39" s="75" t="s">
        <v>26</v>
      </c>
      <c r="E39" s="78" t="s">
        <v>61</v>
      </c>
      <c r="F39" s="78" t="s">
        <v>157</v>
      </c>
      <c r="G39" s="79">
        <f>IF(OR(E39="",F39=""),"",IF(ISERROR(E39*F39),"",TRUNC(E39*F39,2)))</f>
        <v>0.17</v>
      </c>
    </row>
    <row r="40" spans="1:7" x14ac:dyDescent="0.25">
      <c r="F40" s="75" t="s">
        <v>105</v>
      </c>
      <c r="G40" s="79">
        <f>TRUNC(G36 * ('PLANILHA ORÇAMENTARIA'!J2/100), 2)</f>
        <v>0.22</v>
      </c>
    </row>
    <row r="41" spans="1:7" x14ac:dyDescent="0.25">
      <c r="A41" s="80"/>
      <c r="B41" s="80"/>
      <c r="C41" s="80"/>
      <c r="D41" s="80" t="s">
        <v>43</v>
      </c>
      <c r="E41" s="80"/>
      <c r="F41" s="80"/>
      <c r="G41" s="81">
        <f>TRUNC(G36 + G40, 2)</f>
        <v>1.1499999999999999</v>
      </c>
    </row>
    <row r="42" spans="1:7" x14ac:dyDescent="0.25">
      <c r="A42" s="75" t="s">
        <v>138</v>
      </c>
      <c r="B42" s="75">
        <v>97141</v>
      </c>
      <c r="C42" s="75" t="s">
        <v>111</v>
      </c>
      <c r="D42" s="75" t="s">
        <v>112</v>
      </c>
      <c r="G42" s="79">
        <f>SUM(G43:G48)</f>
        <v>4.55</v>
      </c>
    </row>
    <row r="43" spans="1:7" x14ac:dyDescent="0.25">
      <c r="E43" s="78" t="s">
        <v>60</v>
      </c>
      <c r="F43" s="78" t="s">
        <v>60</v>
      </c>
      <c r="G43" s="79" t="str">
        <f>IF(OR(E43="",F43=""),"",IF(ISERROR(E43*F43),"",TRUNC(E43*F43,2)))</f>
        <v/>
      </c>
    </row>
    <row r="44" spans="1:7" x14ac:dyDescent="0.25">
      <c r="B44" s="75">
        <v>5678</v>
      </c>
      <c r="C44" s="75" t="s">
        <v>113</v>
      </c>
      <c r="D44" s="75" t="s">
        <v>48</v>
      </c>
      <c r="E44" s="78" t="s">
        <v>114</v>
      </c>
      <c r="F44" s="78" t="s">
        <v>115</v>
      </c>
      <c r="G44" s="79">
        <f>IF(OR(E44="",F44=""),"",IF(ISERROR(E44*F44),"",TRUNC(E44*F44,2)))</f>
        <v>0.93</v>
      </c>
    </row>
    <row r="45" spans="1:7" x14ac:dyDescent="0.25">
      <c r="B45" s="75">
        <v>5679</v>
      </c>
      <c r="C45" s="75" t="s">
        <v>116</v>
      </c>
      <c r="D45" s="75" t="s">
        <v>49</v>
      </c>
      <c r="E45" s="78" t="s">
        <v>117</v>
      </c>
      <c r="F45" s="78" t="s">
        <v>118</v>
      </c>
      <c r="G45" s="79">
        <f>IF(OR(E45="",F45=""),"",IF(ISERROR(E45*F45),"",TRUNC(E45*F45,2)))</f>
        <v>1.95</v>
      </c>
    </row>
    <row r="46" spans="1:7" x14ac:dyDescent="0.25">
      <c r="B46" s="75">
        <v>20078</v>
      </c>
      <c r="C46" s="75" t="s">
        <v>119</v>
      </c>
      <c r="D46" s="75" t="s">
        <v>32</v>
      </c>
      <c r="E46" s="78" t="s">
        <v>120</v>
      </c>
      <c r="F46" s="78" t="s">
        <v>121</v>
      </c>
      <c r="G46" s="79">
        <f>IF(OR(E46="",F46=""),"",IF(ISERROR(E46*F46),"",TRUNC(E46*F46,2)))</f>
        <v>0.1</v>
      </c>
    </row>
    <row r="47" spans="1:7" x14ac:dyDescent="0.25">
      <c r="B47" s="75">
        <v>88246</v>
      </c>
      <c r="C47" s="75" t="s">
        <v>122</v>
      </c>
      <c r="D47" s="75" t="s">
        <v>26</v>
      </c>
      <c r="E47" s="78" t="s">
        <v>123</v>
      </c>
      <c r="F47" s="78" t="s">
        <v>124</v>
      </c>
      <c r="G47" s="79">
        <f>IF(OR(E47="",F47=""),"",IF(ISERROR(E47*F47),"",TRUNC(E47*F47,2)))</f>
        <v>0.98</v>
      </c>
    </row>
    <row r="48" spans="1:7" x14ac:dyDescent="0.25">
      <c r="B48" s="75">
        <v>88316</v>
      </c>
      <c r="C48" s="75" t="s">
        <v>50</v>
      </c>
      <c r="D48" s="75" t="s">
        <v>26</v>
      </c>
      <c r="E48" s="78" t="s">
        <v>125</v>
      </c>
      <c r="F48" s="78" t="s">
        <v>70</v>
      </c>
      <c r="G48" s="79">
        <f>IF(OR(E48="",F48=""),"",IF(ISERROR(E48*F48),"",TRUNC(E48*F48,2)))</f>
        <v>0.59</v>
      </c>
    </row>
    <row r="49" spans="1:7" x14ac:dyDescent="0.25">
      <c r="F49" s="75" t="s">
        <v>105</v>
      </c>
      <c r="G49" s="79">
        <f>TRUNC(G42 * ('PLANILHA ORÇAMENTARIA'!J2/100), 2)</f>
        <v>1.1000000000000001</v>
      </c>
    </row>
    <row r="50" spans="1:7" x14ac:dyDescent="0.25">
      <c r="A50" s="80"/>
      <c r="B50" s="80"/>
      <c r="C50" s="80"/>
      <c r="D50" s="80" t="s">
        <v>43</v>
      </c>
      <c r="E50" s="80"/>
      <c r="F50" s="80"/>
      <c r="G50" s="81">
        <f>TRUNC(G42 + G49, 2)</f>
        <v>5.65</v>
      </c>
    </row>
    <row r="51" spans="1:7" x14ac:dyDescent="0.25">
      <c r="A51" s="75" t="s">
        <v>139</v>
      </c>
      <c r="B51" s="75">
        <v>88262</v>
      </c>
      <c r="C51" s="75" t="s">
        <v>140</v>
      </c>
      <c r="D51" s="75" t="s">
        <v>26</v>
      </c>
      <c r="G51" s="79">
        <f>SUM(G52:G60)</f>
        <v>22.699999999999996</v>
      </c>
    </row>
    <row r="52" spans="1:7" x14ac:dyDescent="0.25">
      <c r="E52" s="78" t="s">
        <v>60</v>
      </c>
      <c r="F52" s="78" t="s">
        <v>60</v>
      </c>
      <c r="G52" s="79" t="str">
        <f>IF(OR(E52="",F52=""),"",IF(ISERROR(E52*F52),"",TRUNC(E52*F52,2)))</f>
        <v/>
      </c>
    </row>
    <row r="53" spans="1:7" x14ac:dyDescent="0.25">
      <c r="B53" s="75">
        <v>1213</v>
      </c>
      <c r="C53" s="75" t="s">
        <v>141</v>
      </c>
      <c r="D53" s="75" t="s">
        <v>26</v>
      </c>
      <c r="E53" s="78" t="s">
        <v>61</v>
      </c>
      <c r="F53" s="78" t="s">
        <v>62</v>
      </c>
      <c r="G53" s="79">
        <f>IF(OR(E53="",F53=""),"",IF(ISERROR(E53*F53),"",TRUNC(E53*F53,2)))</f>
        <v>16.21</v>
      </c>
    </row>
    <row r="54" spans="1:7" x14ac:dyDescent="0.25">
      <c r="B54" s="75">
        <v>37370</v>
      </c>
      <c r="C54" s="75" t="s">
        <v>39</v>
      </c>
      <c r="D54" s="75" t="s">
        <v>26</v>
      </c>
      <c r="E54" s="78" t="s">
        <v>61</v>
      </c>
      <c r="F54" s="78" t="s">
        <v>63</v>
      </c>
      <c r="G54" s="79">
        <f>IF(OR(E54="",F54=""),"",IF(ISERROR(E54*F54),"",TRUNC(E54*F54,2)))</f>
        <v>2.4</v>
      </c>
    </row>
    <row r="55" spans="1:7" x14ac:dyDescent="0.25">
      <c r="B55" s="75">
        <v>37371</v>
      </c>
      <c r="C55" s="75" t="s">
        <v>40</v>
      </c>
      <c r="D55" s="75" t="s">
        <v>26</v>
      </c>
      <c r="E55" s="78" t="s">
        <v>61</v>
      </c>
      <c r="F55" s="78" t="s">
        <v>64</v>
      </c>
      <c r="G55" s="79">
        <f>IF(OR(E55="",F55=""),"",IF(ISERROR(E55*F55),"",TRUNC(E55*F55,2)))</f>
        <v>0.57999999999999996</v>
      </c>
    </row>
    <row r="56" spans="1:7" x14ac:dyDescent="0.25">
      <c r="B56" s="75">
        <v>37372</v>
      </c>
      <c r="C56" s="75" t="s">
        <v>41</v>
      </c>
      <c r="D56" s="75" t="s">
        <v>26</v>
      </c>
      <c r="E56" s="78" t="s">
        <v>61</v>
      </c>
      <c r="F56" s="78" t="s">
        <v>65</v>
      </c>
      <c r="G56" s="79">
        <f>IF(OR(E56="",F56=""),"",IF(ISERROR(E56*F56),"",TRUNC(E56*F56,2)))</f>
        <v>1.34</v>
      </c>
    </row>
    <row r="57" spans="1:7" x14ac:dyDescent="0.25">
      <c r="B57" s="75">
        <v>37373</v>
      </c>
      <c r="C57" s="75" t="s">
        <v>42</v>
      </c>
      <c r="D57" s="75" t="s">
        <v>26</v>
      </c>
      <c r="E57" s="78" t="s">
        <v>61</v>
      </c>
      <c r="F57" s="78" t="s">
        <v>66</v>
      </c>
      <c r="G57" s="79">
        <f>IF(OR(E57="",F57=""),"",IF(ISERROR(E57*F57),"",TRUNC(E57*F57,2)))</f>
        <v>0.04</v>
      </c>
    </row>
    <row r="58" spans="1:7" x14ac:dyDescent="0.25">
      <c r="B58" s="75">
        <v>43459</v>
      </c>
      <c r="C58" s="75" t="s">
        <v>142</v>
      </c>
      <c r="D58" s="75" t="s">
        <v>26</v>
      </c>
      <c r="E58" s="78" t="s">
        <v>61</v>
      </c>
      <c r="F58" s="78" t="s">
        <v>143</v>
      </c>
      <c r="G58" s="79">
        <f>IF(OR(E58="",F58=""),"",IF(ISERROR(E58*F58),"",TRUNC(E58*F58,2)))</f>
        <v>0.49</v>
      </c>
    </row>
    <row r="59" spans="1:7" x14ac:dyDescent="0.25">
      <c r="B59" s="75">
        <v>43483</v>
      </c>
      <c r="C59" s="75" t="s">
        <v>144</v>
      </c>
      <c r="D59" s="75" t="s">
        <v>26</v>
      </c>
      <c r="E59" s="78" t="s">
        <v>61</v>
      </c>
      <c r="F59" s="78" t="s">
        <v>145</v>
      </c>
      <c r="G59" s="79">
        <f>IF(OR(E59="",F59=""),"",IF(ISERROR(E59*F59),"",TRUNC(E59*F59,2)))</f>
        <v>1.43</v>
      </c>
    </row>
    <row r="60" spans="1:7" x14ac:dyDescent="0.25">
      <c r="B60" s="75">
        <v>95330</v>
      </c>
      <c r="C60" s="75" t="s">
        <v>146</v>
      </c>
      <c r="D60" s="75" t="s">
        <v>26</v>
      </c>
      <c r="E60" s="78" t="s">
        <v>61</v>
      </c>
      <c r="F60" s="78" t="s">
        <v>147</v>
      </c>
      <c r="G60" s="79">
        <f>IF(OR(E60="",F60=""),"",IF(ISERROR(E60*F60),"",TRUNC(E60*F60,2)))</f>
        <v>0.21</v>
      </c>
    </row>
    <row r="61" spans="1:7" x14ac:dyDescent="0.25">
      <c r="F61" s="75" t="s">
        <v>105</v>
      </c>
      <c r="G61" s="79">
        <f>TRUNC(G51 * ('PLANILHA ORÇAMENTARIA'!J2/100), 2)</f>
        <v>5.53</v>
      </c>
    </row>
    <row r="62" spans="1:7" x14ac:dyDescent="0.25">
      <c r="A62" s="80"/>
      <c r="B62" s="80"/>
      <c r="C62" s="80"/>
      <c r="D62" s="80" t="s">
        <v>43</v>
      </c>
      <c r="E62" s="80"/>
      <c r="F62" s="80"/>
      <c r="G62" s="81">
        <f>TRUNC(G51 + G61, 2)</f>
        <v>28.23</v>
      </c>
    </row>
    <row r="63" spans="1:7" x14ac:dyDescent="0.25">
      <c r="A63" s="76">
        <v>2</v>
      </c>
      <c r="B63" s="76"/>
      <c r="C63" s="76" t="s">
        <v>235</v>
      </c>
      <c r="D63" s="76"/>
      <c r="E63" s="76"/>
      <c r="F63" s="76"/>
      <c r="G63" s="76"/>
    </row>
    <row r="64" spans="1:7" x14ac:dyDescent="0.25">
      <c r="A64" s="77">
        <v>2.1</v>
      </c>
      <c r="B64" s="77"/>
      <c r="C64" s="77" t="s">
        <v>107</v>
      </c>
      <c r="D64" s="77"/>
      <c r="E64" s="77"/>
      <c r="F64" s="77"/>
      <c r="G64" s="77"/>
    </row>
    <row r="65" spans="1:7" x14ac:dyDescent="0.25">
      <c r="A65" s="75" t="s">
        <v>100</v>
      </c>
      <c r="B65" s="75">
        <v>88311</v>
      </c>
      <c r="C65" s="75" t="s">
        <v>130</v>
      </c>
      <c r="D65" s="75" t="s">
        <v>26</v>
      </c>
      <c r="G65" s="79">
        <f>SUM(G66:G74)</f>
        <v>25.389999999999997</v>
      </c>
    </row>
    <row r="66" spans="1:7" x14ac:dyDescent="0.25">
      <c r="E66" s="78" t="s">
        <v>60</v>
      </c>
      <c r="F66" s="78" t="s">
        <v>60</v>
      </c>
      <c r="G66" s="79" t="str">
        <f>IF(OR(E66="",F66=""),"",IF(ISERROR(E66*F66),"",TRUNC(E66*F66,2)))</f>
        <v/>
      </c>
    </row>
    <row r="67" spans="1:7" x14ac:dyDescent="0.25">
      <c r="B67" s="75">
        <v>12874</v>
      </c>
      <c r="C67" s="75" t="s">
        <v>131</v>
      </c>
      <c r="D67" s="75" t="s">
        <v>26</v>
      </c>
      <c r="E67" s="78" t="s">
        <v>61</v>
      </c>
      <c r="F67" s="78" t="s">
        <v>132</v>
      </c>
      <c r="G67" s="79">
        <f>IF(OR(E67="",F67=""),"",IF(ISERROR(E67*F67),"",TRUNC(E67*F67,2)))</f>
        <v>17.05</v>
      </c>
    </row>
    <row r="68" spans="1:7" x14ac:dyDescent="0.25">
      <c r="B68" s="75">
        <v>37370</v>
      </c>
      <c r="C68" s="75" t="s">
        <v>39</v>
      </c>
      <c r="D68" s="75" t="s">
        <v>26</v>
      </c>
      <c r="E68" s="78" t="s">
        <v>61</v>
      </c>
      <c r="F68" s="78" t="s">
        <v>63</v>
      </c>
      <c r="G68" s="79">
        <f>IF(OR(E68="",F68=""),"",IF(ISERROR(E68*F68),"",TRUNC(E68*F68,2)))</f>
        <v>2.4</v>
      </c>
    </row>
    <row r="69" spans="1:7" x14ac:dyDescent="0.25">
      <c r="B69" s="75">
        <v>37371</v>
      </c>
      <c r="C69" s="75" t="s">
        <v>40</v>
      </c>
      <c r="D69" s="75" t="s">
        <v>26</v>
      </c>
      <c r="E69" s="78" t="s">
        <v>61</v>
      </c>
      <c r="F69" s="78" t="s">
        <v>64</v>
      </c>
      <c r="G69" s="79">
        <f>IF(OR(E69="",F69=""),"",IF(ISERROR(E69*F69),"",TRUNC(E69*F69,2)))</f>
        <v>0.57999999999999996</v>
      </c>
    </row>
    <row r="70" spans="1:7" x14ac:dyDescent="0.25">
      <c r="B70" s="75">
        <v>37372</v>
      </c>
      <c r="C70" s="75" t="s">
        <v>41</v>
      </c>
      <c r="D70" s="75" t="s">
        <v>26</v>
      </c>
      <c r="E70" s="78" t="s">
        <v>61</v>
      </c>
      <c r="F70" s="78" t="s">
        <v>65</v>
      </c>
      <c r="G70" s="79">
        <f>IF(OR(E70="",F70=""),"",IF(ISERROR(E70*F70),"",TRUNC(E70*F70,2)))</f>
        <v>1.34</v>
      </c>
    </row>
    <row r="71" spans="1:7" x14ac:dyDescent="0.25">
      <c r="B71" s="75">
        <v>37373</v>
      </c>
      <c r="C71" s="75" t="s">
        <v>42</v>
      </c>
      <c r="D71" s="75" t="s">
        <v>26</v>
      </c>
      <c r="E71" s="78" t="s">
        <v>61</v>
      </c>
      <c r="F71" s="78" t="s">
        <v>66</v>
      </c>
      <c r="G71" s="79">
        <f>IF(OR(E71="",F71=""),"",IF(ISERROR(E71*F71),"",TRUNC(E71*F71,2)))</f>
        <v>0.04</v>
      </c>
    </row>
    <row r="72" spans="1:7" x14ac:dyDescent="0.25">
      <c r="B72" s="75">
        <v>43466</v>
      </c>
      <c r="C72" s="75" t="s">
        <v>56</v>
      </c>
      <c r="D72" s="75" t="s">
        <v>26</v>
      </c>
      <c r="E72" s="78" t="s">
        <v>61</v>
      </c>
      <c r="F72" s="78" t="s">
        <v>78</v>
      </c>
      <c r="G72" s="79">
        <f>IF(OR(E72="",F72=""),"",IF(ISERROR(E72*F72),"",TRUNC(E72*F72,2)))</f>
        <v>1.97</v>
      </c>
    </row>
    <row r="73" spans="1:7" x14ac:dyDescent="0.25">
      <c r="B73" s="75">
        <v>43490</v>
      </c>
      <c r="C73" s="75" t="s">
        <v>57</v>
      </c>
      <c r="D73" s="75" t="s">
        <v>26</v>
      </c>
      <c r="E73" s="78" t="s">
        <v>61</v>
      </c>
      <c r="F73" s="78" t="s">
        <v>79</v>
      </c>
      <c r="G73" s="79">
        <f>IF(OR(E73="",F73=""),"",IF(ISERROR(E73*F73),"",TRUNC(E73*F73,2)))</f>
        <v>1.73</v>
      </c>
    </row>
    <row r="74" spans="1:7" x14ac:dyDescent="0.25">
      <c r="B74" s="75">
        <v>95373</v>
      </c>
      <c r="C74" s="75" t="s">
        <v>133</v>
      </c>
      <c r="D74" s="75" t="s">
        <v>26</v>
      </c>
      <c r="E74" s="78" t="s">
        <v>61</v>
      </c>
      <c r="F74" s="78" t="s">
        <v>134</v>
      </c>
      <c r="G74" s="79">
        <f>IF(OR(E74="",F74=""),"",IF(ISERROR(E74*F74),"",TRUNC(E74*F74,2)))</f>
        <v>0.28000000000000003</v>
      </c>
    </row>
    <row r="75" spans="1:7" x14ac:dyDescent="0.25">
      <c r="F75" s="75" t="s">
        <v>105</v>
      </c>
      <c r="G75" s="79">
        <f>TRUNC(G65 * ('PLANILHA ORÇAMENTARIA'!J2/100), 2)</f>
        <v>6.18</v>
      </c>
    </row>
    <row r="76" spans="1:7" x14ac:dyDescent="0.25">
      <c r="A76" s="80"/>
      <c r="B76" s="80"/>
      <c r="C76" s="80"/>
      <c r="D76" s="80" t="s">
        <v>43</v>
      </c>
      <c r="E76" s="80"/>
      <c r="F76" s="80"/>
      <c r="G76" s="81">
        <f>TRUNC(G65 + G75, 2)</f>
        <v>31.57</v>
      </c>
    </row>
    <row r="77" spans="1:7" x14ac:dyDescent="0.25">
      <c r="A77" s="75" t="s">
        <v>101</v>
      </c>
      <c r="B77" s="75">
        <v>97142</v>
      </c>
      <c r="C77" s="75" t="s">
        <v>149</v>
      </c>
      <c r="D77" s="75" t="s">
        <v>112</v>
      </c>
      <c r="G77" s="79">
        <f>SUM(G78:G83)</f>
        <v>5.24</v>
      </c>
    </row>
    <row r="78" spans="1:7" x14ac:dyDescent="0.25">
      <c r="E78" s="78" t="s">
        <v>60</v>
      </c>
      <c r="F78" s="78" t="s">
        <v>60</v>
      </c>
      <c r="G78" s="79" t="str">
        <f>IF(OR(E78="",F78=""),"",IF(ISERROR(E78*F78),"",TRUNC(E78*F78,2)))</f>
        <v/>
      </c>
    </row>
    <row r="79" spans="1:7" x14ac:dyDescent="0.25">
      <c r="B79" s="75">
        <v>5678</v>
      </c>
      <c r="C79" s="75" t="s">
        <v>113</v>
      </c>
      <c r="D79" s="75" t="s">
        <v>48</v>
      </c>
      <c r="E79" s="78" t="s">
        <v>158</v>
      </c>
      <c r="F79" s="78" t="s">
        <v>115</v>
      </c>
      <c r="G79" s="79">
        <f>IF(OR(E79="",F79=""),"",IF(ISERROR(E79*F79),"",TRUNC(E79*F79,2)))</f>
        <v>1.02</v>
      </c>
    </row>
    <row r="80" spans="1:7" x14ac:dyDescent="0.25">
      <c r="B80" s="75">
        <v>5679</v>
      </c>
      <c r="C80" s="75" t="s">
        <v>116</v>
      </c>
      <c r="D80" s="75" t="s">
        <v>49</v>
      </c>
      <c r="E80" s="78" t="s">
        <v>159</v>
      </c>
      <c r="F80" s="78" t="s">
        <v>118</v>
      </c>
      <c r="G80" s="79">
        <f>IF(OR(E80="",F80=""),"",IF(ISERROR(E80*F80),"",TRUNC(E80*F80,2)))</f>
        <v>2.11</v>
      </c>
    </row>
    <row r="81" spans="1:7" x14ac:dyDescent="0.25">
      <c r="B81" s="75">
        <v>20078</v>
      </c>
      <c r="C81" s="75" t="s">
        <v>119</v>
      </c>
      <c r="D81" s="75" t="s">
        <v>32</v>
      </c>
      <c r="E81" s="78" t="s">
        <v>160</v>
      </c>
      <c r="F81" s="78" t="s">
        <v>121</v>
      </c>
      <c r="G81" s="79">
        <f>IF(OR(E81="",F81=""),"",IF(ISERROR(E81*F81),"",TRUNC(E81*F81,2)))</f>
        <v>0.12</v>
      </c>
    </row>
    <row r="82" spans="1:7" x14ac:dyDescent="0.25">
      <c r="B82" s="75">
        <v>88246</v>
      </c>
      <c r="C82" s="75" t="s">
        <v>122</v>
      </c>
      <c r="D82" s="75" t="s">
        <v>26</v>
      </c>
      <c r="E82" s="78" t="s">
        <v>161</v>
      </c>
      <c r="F82" s="78" t="s">
        <v>124</v>
      </c>
      <c r="G82" s="79">
        <f>IF(OR(E82="",F82=""),"",IF(ISERROR(E82*F82),"",TRUNC(E82*F82,2)))</f>
        <v>1.24</v>
      </c>
    </row>
    <row r="83" spans="1:7" x14ac:dyDescent="0.25">
      <c r="B83" s="75">
        <v>88316</v>
      </c>
      <c r="C83" s="75" t="s">
        <v>50</v>
      </c>
      <c r="D83" s="75" t="s">
        <v>26</v>
      </c>
      <c r="E83" s="78" t="s">
        <v>162</v>
      </c>
      <c r="F83" s="78" t="s">
        <v>70</v>
      </c>
      <c r="G83" s="79">
        <f>IF(OR(E83="",F83=""),"",IF(ISERROR(E83*F83),"",TRUNC(E83*F83,2)))</f>
        <v>0.75</v>
      </c>
    </row>
    <row r="84" spans="1:7" x14ac:dyDescent="0.25">
      <c r="F84" s="75" t="s">
        <v>105</v>
      </c>
      <c r="G84" s="79">
        <f>TRUNC(G77 * ('PLANILHA ORÇAMENTARIA'!J2/100), 2)</f>
        <v>1.27</v>
      </c>
    </row>
    <row r="85" spans="1:7" x14ac:dyDescent="0.25">
      <c r="A85" s="80"/>
      <c r="B85" s="80"/>
      <c r="C85" s="80"/>
      <c r="D85" s="80" t="s">
        <v>43</v>
      </c>
      <c r="E85" s="80"/>
      <c r="F85" s="80"/>
      <c r="G85" s="81">
        <f>TRUNC(G77 + G84, 2)</f>
        <v>6.51</v>
      </c>
    </row>
    <row r="86" spans="1:7" x14ac:dyDescent="0.25">
      <c r="A86" s="75" t="s">
        <v>102</v>
      </c>
      <c r="B86" s="75">
        <v>97143</v>
      </c>
      <c r="C86" s="75" t="s">
        <v>150</v>
      </c>
      <c r="D86" s="75" t="s">
        <v>112</v>
      </c>
      <c r="G86" s="79">
        <f>SUM(G87:G92)</f>
        <v>6.9</v>
      </c>
    </row>
    <row r="87" spans="1:7" x14ac:dyDescent="0.25">
      <c r="E87" s="78" t="s">
        <v>60</v>
      </c>
      <c r="F87" s="78" t="s">
        <v>60</v>
      </c>
      <c r="G87" s="79" t="str">
        <f>IF(OR(E87="",F87=""),"",IF(ISERROR(E87*F87),"",TRUNC(E87*F87,2)))</f>
        <v/>
      </c>
    </row>
    <row r="88" spans="1:7" x14ac:dyDescent="0.25">
      <c r="B88" s="75">
        <v>5678</v>
      </c>
      <c r="C88" s="75" t="s">
        <v>113</v>
      </c>
      <c r="D88" s="75" t="s">
        <v>48</v>
      </c>
      <c r="E88" s="78" t="s">
        <v>163</v>
      </c>
      <c r="F88" s="78" t="s">
        <v>115</v>
      </c>
      <c r="G88" s="79">
        <f>IF(OR(E88="",F88=""),"",IF(ISERROR(E88*F88),"",TRUNC(E88*F88,2)))</f>
        <v>1.21</v>
      </c>
    </row>
    <row r="89" spans="1:7" x14ac:dyDescent="0.25">
      <c r="B89" s="75">
        <v>5679</v>
      </c>
      <c r="C89" s="75" t="s">
        <v>116</v>
      </c>
      <c r="D89" s="75" t="s">
        <v>49</v>
      </c>
      <c r="E89" s="78" t="s">
        <v>164</v>
      </c>
      <c r="F89" s="78" t="s">
        <v>118</v>
      </c>
      <c r="G89" s="79">
        <f>IF(OR(E89="",F89=""),"",IF(ISERROR(E89*F89),"",TRUNC(E89*F89,2)))</f>
        <v>2.5</v>
      </c>
    </row>
    <row r="90" spans="1:7" x14ac:dyDescent="0.25">
      <c r="B90" s="75">
        <v>20078</v>
      </c>
      <c r="C90" s="75" t="s">
        <v>119</v>
      </c>
      <c r="D90" s="75" t="s">
        <v>32</v>
      </c>
      <c r="E90" s="78" t="s">
        <v>165</v>
      </c>
      <c r="F90" s="78" t="s">
        <v>121</v>
      </c>
      <c r="G90" s="79">
        <f>IF(OR(E90="",F90=""),"",IF(ISERROR(E90*F90),"",TRUNC(E90*F90,2)))</f>
        <v>0.16</v>
      </c>
    </row>
    <row r="91" spans="1:7" x14ac:dyDescent="0.25">
      <c r="B91" s="75">
        <v>88246</v>
      </c>
      <c r="C91" s="75" t="s">
        <v>122</v>
      </c>
      <c r="D91" s="75" t="s">
        <v>26</v>
      </c>
      <c r="E91" s="78" t="s">
        <v>166</v>
      </c>
      <c r="F91" s="78" t="s">
        <v>124</v>
      </c>
      <c r="G91" s="79">
        <f>IF(OR(E91="",F91=""),"",IF(ISERROR(E91*F91),"",TRUNC(E91*F91,2)))</f>
        <v>1.88</v>
      </c>
    </row>
    <row r="92" spans="1:7" x14ac:dyDescent="0.25">
      <c r="B92" s="75">
        <v>88316</v>
      </c>
      <c r="C92" s="75" t="s">
        <v>50</v>
      </c>
      <c r="D92" s="75" t="s">
        <v>26</v>
      </c>
      <c r="E92" s="78" t="s">
        <v>167</v>
      </c>
      <c r="F92" s="78" t="s">
        <v>70</v>
      </c>
      <c r="G92" s="79">
        <f>IF(OR(E92="",F92=""),"",IF(ISERROR(E92*F92),"",TRUNC(E92*F92,2)))</f>
        <v>1.1499999999999999</v>
      </c>
    </row>
    <row r="93" spans="1:7" x14ac:dyDescent="0.25">
      <c r="F93" s="75" t="s">
        <v>105</v>
      </c>
      <c r="G93" s="79">
        <f>TRUNC(G86 * ('PLANILHA ORÇAMENTARIA'!J2/100), 2)</f>
        <v>1.68</v>
      </c>
    </row>
    <row r="94" spans="1:7" x14ac:dyDescent="0.25">
      <c r="A94" s="80"/>
      <c r="B94" s="80"/>
      <c r="C94" s="80"/>
      <c r="D94" s="80" t="s">
        <v>43</v>
      </c>
      <c r="E94" s="80"/>
      <c r="F94" s="80"/>
      <c r="G94" s="81">
        <f>TRUNC(G86 + G93, 2)</f>
        <v>8.58</v>
      </c>
    </row>
    <row r="95" spans="1:7" x14ac:dyDescent="0.25">
      <c r="A95" s="75" t="s">
        <v>103</v>
      </c>
      <c r="B95" s="75">
        <v>87804</v>
      </c>
      <c r="C95" s="75" t="s">
        <v>83</v>
      </c>
      <c r="D95" s="75" t="s">
        <v>58</v>
      </c>
      <c r="G95" s="79">
        <f>SUM(G96:G100)</f>
        <v>117.69000000000001</v>
      </c>
    </row>
    <row r="96" spans="1:7" x14ac:dyDescent="0.25">
      <c r="E96" s="78" t="s">
        <v>60</v>
      </c>
      <c r="F96" s="78" t="s">
        <v>60</v>
      </c>
      <c r="G96" s="79" t="str">
        <f>IF(OR(E96="",F96=""),"",IF(ISERROR(E96*F96),"",TRUNC(E96*F96,2)))</f>
        <v/>
      </c>
    </row>
    <row r="97" spans="1:7" x14ac:dyDescent="0.25">
      <c r="B97" s="75">
        <v>37411</v>
      </c>
      <c r="C97" s="75" t="s">
        <v>84</v>
      </c>
      <c r="D97" s="75" t="s">
        <v>58</v>
      </c>
      <c r="E97" s="78" t="s">
        <v>85</v>
      </c>
      <c r="F97" s="78" t="s">
        <v>86</v>
      </c>
      <c r="G97" s="79">
        <f>IF(OR(E97="",F97=""),"",IF(ISERROR(E97*F97),"",TRUNC(E97*F97,2)))</f>
        <v>2.65</v>
      </c>
    </row>
    <row r="98" spans="1:7" x14ac:dyDescent="0.25">
      <c r="B98" s="75">
        <v>87407</v>
      </c>
      <c r="C98" s="75" t="s">
        <v>87</v>
      </c>
      <c r="D98" s="75" t="s">
        <v>34</v>
      </c>
      <c r="E98" s="78" t="s">
        <v>88</v>
      </c>
      <c r="F98" s="78" t="s">
        <v>89</v>
      </c>
      <c r="G98" s="79">
        <f>IF(OR(E98="",F98=""),"",IF(ISERROR(E98*F98),"",TRUNC(E98*F98,2)))</f>
        <v>92.3</v>
      </c>
    </row>
    <row r="99" spans="1:7" x14ac:dyDescent="0.25">
      <c r="B99" s="75">
        <v>88309</v>
      </c>
      <c r="C99" s="75" t="s">
        <v>25</v>
      </c>
      <c r="D99" s="75" t="s">
        <v>26</v>
      </c>
      <c r="E99" s="78" t="s">
        <v>90</v>
      </c>
      <c r="F99" s="78" t="s">
        <v>81</v>
      </c>
      <c r="G99" s="79">
        <f>IF(OR(E99="",F99=""),"",IF(ISERROR(E99*F99),"",TRUNC(E99*F99,2)))</f>
        <v>12.54</v>
      </c>
    </row>
    <row r="100" spans="1:7" x14ac:dyDescent="0.25">
      <c r="B100" s="75">
        <v>88316</v>
      </c>
      <c r="C100" s="75" t="s">
        <v>50</v>
      </c>
      <c r="D100" s="75" t="s">
        <v>26</v>
      </c>
      <c r="E100" s="78" t="s">
        <v>90</v>
      </c>
      <c r="F100" s="78" t="s">
        <v>70</v>
      </c>
      <c r="G100" s="79">
        <f>IF(OR(E100="",F100=""),"",IF(ISERROR(E100*F100),"",TRUNC(E100*F100,2)))</f>
        <v>10.199999999999999</v>
      </c>
    </row>
    <row r="101" spans="1:7" x14ac:dyDescent="0.25">
      <c r="F101" s="75" t="s">
        <v>105</v>
      </c>
      <c r="G101" s="79">
        <f>TRUNC(G95 * ('PLANILHA ORÇAMENTARIA'!J2/100), 2)</f>
        <v>28.68</v>
      </c>
    </row>
    <row r="102" spans="1:7" x14ac:dyDescent="0.25">
      <c r="A102" s="80"/>
      <c r="B102" s="80"/>
      <c r="C102" s="80"/>
      <c r="D102" s="80" t="s">
        <v>43</v>
      </c>
      <c r="E102" s="80"/>
      <c r="F102" s="80"/>
      <c r="G102" s="81">
        <f>TRUNC(G95 + G101, 2)</f>
        <v>146.37</v>
      </c>
    </row>
    <row r="103" spans="1:7" x14ac:dyDescent="0.25">
      <c r="A103" s="75" t="s">
        <v>104</v>
      </c>
      <c r="B103" s="75">
        <v>87404</v>
      </c>
      <c r="C103" s="75" t="s">
        <v>33</v>
      </c>
      <c r="D103" s="75" t="s">
        <v>34</v>
      </c>
      <c r="G103" s="79">
        <f>SUM(G104:G108)</f>
        <v>5293.94</v>
      </c>
    </row>
    <row r="104" spans="1:7" x14ac:dyDescent="0.25">
      <c r="E104" s="78" t="s">
        <v>60</v>
      </c>
      <c r="F104" s="78" t="s">
        <v>60</v>
      </c>
      <c r="G104" s="79" t="str">
        <f>IF(OR(E104="",F104=""),"",IF(ISERROR(E104*F104),"",TRUNC(E104*F104,2)))</f>
        <v/>
      </c>
    </row>
    <row r="105" spans="1:7" x14ac:dyDescent="0.25">
      <c r="B105" s="75">
        <v>36880</v>
      </c>
      <c r="C105" s="75" t="s">
        <v>51</v>
      </c>
      <c r="D105" s="75" t="s">
        <v>52</v>
      </c>
      <c r="E105" s="78" t="s">
        <v>91</v>
      </c>
      <c r="F105" s="78" t="s">
        <v>71</v>
      </c>
      <c r="G105" s="79">
        <f>IF(OR(E105="",F105=""),"",IF(ISERROR(E105*F105),"",TRUNC(E105*F105,2)))</f>
        <v>5108.4799999999996</v>
      </c>
    </row>
    <row r="106" spans="1:7" x14ac:dyDescent="0.25">
      <c r="B106" s="75">
        <v>88377</v>
      </c>
      <c r="C106" s="75" t="s">
        <v>53</v>
      </c>
      <c r="D106" s="75" t="s">
        <v>26</v>
      </c>
      <c r="E106" s="78" t="s">
        <v>72</v>
      </c>
      <c r="F106" s="78" t="s">
        <v>73</v>
      </c>
      <c r="G106" s="79">
        <f>IF(OR(E106="",F106=""),"",IF(ISERROR(E106*F106),"",TRUNC(E106*F106,2)))</f>
        <v>141.99</v>
      </c>
    </row>
    <row r="107" spans="1:7" x14ac:dyDescent="0.25">
      <c r="B107" s="75">
        <v>88418</v>
      </c>
      <c r="C107" s="75" t="s">
        <v>54</v>
      </c>
      <c r="D107" s="75" t="s">
        <v>48</v>
      </c>
      <c r="E107" s="78" t="s">
        <v>59</v>
      </c>
      <c r="F107" s="78" t="s">
        <v>74</v>
      </c>
      <c r="G107" s="79">
        <f>IF(OR(E107="",F107=""),"",IF(ISERROR(E107*F107),"",TRUNC(E107*F107,2)))</f>
        <v>8.9700000000000006</v>
      </c>
    </row>
    <row r="108" spans="1:7" x14ac:dyDescent="0.25">
      <c r="B108" s="75">
        <v>88430</v>
      </c>
      <c r="C108" s="75" t="s">
        <v>55</v>
      </c>
      <c r="D108" s="75" t="s">
        <v>49</v>
      </c>
      <c r="E108" s="78" t="s">
        <v>75</v>
      </c>
      <c r="F108" s="78" t="s">
        <v>76</v>
      </c>
      <c r="G108" s="79">
        <f>IF(OR(E108="",F108=""),"",IF(ISERROR(E108*F108),"",TRUNC(E108*F108,2)))</f>
        <v>34.5</v>
      </c>
    </row>
    <row r="109" spans="1:7" x14ac:dyDescent="0.25">
      <c r="F109" s="75" t="s">
        <v>105</v>
      </c>
      <c r="G109" s="79">
        <f>TRUNC(G103 * ('PLANILHA ORÇAMENTARIA'!J2/100), 2)</f>
        <v>1290.1300000000001</v>
      </c>
    </row>
    <row r="110" spans="1:7" x14ac:dyDescent="0.25">
      <c r="A110" s="80"/>
      <c r="B110" s="80"/>
      <c r="C110" s="80"/>
      <c r="D110" s="80" t="s">
        <v>43</v>
      </c>
      <c r="E110" s="80"/>
      <c r="F110" s="80"/>
      <c r="G110" s="81">
        <f>TRUNC(G103 + G109, 2)</f>
        <v>6584.07</v>
      </c>
    </row>
    <row r="111" spans="1:7" x14ac:dyDescent="0.25">
      <c r="A111" s="75" t="s">
        <v>109</v>
      </c>
      <c r="B111" s="75">
        <v>99260</v>
      </c>
      <c r="C111" s="75" t="s">
        <v>151</v>
      </c>
      <c r="D111" s="75" t="s">
        <v>32</v>
      </c>
      <c r="G111" s="79">
        <f>SUM(G112:G127)</f>
        <v>405.89</v>
      </c>
    </row>
    <row r="112" spans="1:7" x14ac:dyDescent="0.25">
      <c r="E112" s="78" t="s">
        <v>60</v>
      </c>
      <c r="F112" s="78" t="s">
        <v>60</v>
      </c>
      <c r="G112" s="79" t="str">
        <f>IF(OR(E112="",F112=""),"",IF(ISERROR(E112*F112),"",TRUNC(E112*F112,2)))</f>
        <v/>
      </c>
    </row>
    <row r="113" spans="2:7" x14ac:dyDescent="0.25">
      <c r="B113" s="75">
        <v>650</v>
      </c>
      <c r="C113" s="75" t="s">
        <v>168</v>
      </c>
      <c r="D113" s="75" t="s">
        <v>32</v>
      </c>
      <c r="E113" s="78" t="s">
        <v>169</v>
      </c>
      <c r="F113" s="78" t="s">
        <v>170</v>
      </c>
      <c r="G113" s="79">
        <f>IF(OR(E113="",F113=""),"",IF(ISERROR(E113*F113),"",TRUNC(E113*F113,2)))</f>
        <v>72.87</v>
      </c>
    </row>
    <row r="114" spans="2:7" x14ac:dyDescent="0.25">
      <c r="B114" s="75">
        <v>2692</v>
      </c>
      <c r="C114" s="75" t="s">
        <v>171</v>
      </c>
      <c r="D114" s="75" t="s">
        <v>172</v>
      </c>
      <c r="E114" s="78" t="s">
        <v>160</v>
      </c>
      <c r="F114" s="78" t="s">
        <v>173</v>
      </c>
      <c r="G114" s="79">
        <f>IF(OR(E114="",F114=""),"",IF(ISERROR(E114*F114),"",TRUNC(E114*F114,2)))</f>
        <v>0.03</v>
      </c>
    </row>
    <row r="115" spans="2:7" x14ac:dyDescent="0.25">
      <c r="B115" s="75">
        <v>4491</v>
      </c>
      <c r="C115" s="75" t="s">
        <v>174</v>
      </c>
      <c r="D115" s="75" t="s">
        <v>112</v>
      </c>
      <c r="E115" s="78" t="s">
        <v>175</v>
      </c>
      <c r="F115" s="78" t="s">
        <v>176</v>
      </c>
      <c r="G115" s="79">
        <f>IF(OR(E115="",F115=""),"",IF(ISERROR(E115*F115),"",TRUNC(E115*F115,2)))</f>
        <v>1.54</v>
      </c>
    </row>
    <row r="116" spans="2:7" x14ac:dyDescent="0.25">
      <c r="B116" s="75">
        <v>4517</v>
      </c>
      <c r="C116" s="75" t="s">
        <v>177</v>
      </c>
      <c r="D116" s="75" t="s">
        <v>112</v>
      </c>
      <c r="E116" s="78" t="s">
        <v>178</v>
      </c>
      <c r="F116" s="78" t="s">
        <v>179</v>
      </c>
      <c r="G116" s="79">
        <f>IF(OR(E116="",F116=""),"",IF(ISERROR(E116*F116),"",TRUNC(E116*F116,2)))</f>
        <v>0.64</v>
      </c>
    </row>
    <row r="117" spans="2:7" x14ac:dyDescent="0.25">
      <c r="B117" s="75">
        <v>5069</v>
      </c>
      <c r="C117" s="75" t="s">
        <v>180</v>
      </c>
      <c r="D117" s="75" t="s">
        <v>52</v>
      </c>
      <c r="E117" s="78" t="s">
        <v>181</v>
      </c>
      <c r="F117" s="78" t="s">
        <v>182</v>
      </c>
      <c r="G117" s="79">
        <f>IF(OR(E117="",F117=""),"",IF(ISERROR(E117*F117),"",TRUNC(E117*F117,2)))</f>
        <v>0.28000000000000003</v>
      </c>
    </row>
    <row r="118" spans="2:7" x14ac:dyDescent="0.25">
      <c r="B118" s="75">
        <v>5678</v>
      </c>
      <c r="C118" s="75" t="s">
        <v>113</v>
      </c>
      <c r="D118" s="75" t="s">
        <v>48</v>
      </c>
      <c r="E118" s="78" t="s">
        <v>183</v>
      </c>
      <c r="F118" s="78" t="s">
        <v>115</v>
      </c>
      <c r="G118" s="79">
        <f>IF(OR(E118="",F118=""),"",IF(ISERROR(E118*F118),"",TRUNC(E118*F118,2)))</f>
        <v>1.29</v>
      </c>
    </row>
    <row r="119" spans="2:7" x14ac:dyDescent="0.25">
      <c r="B119" s="75">
        <v>5679</v>
      </c>
      <c r="C119" s="75" t="s">
        <v>116</v>
      </c>
      <c r="D119" s="75" t="s">
        <v>49</v>
      </c>
      <c r="E119" s="78" t="s">
        <v>184</v>
      </c>
      <c r="F119" s="78" t="s">
        <v>118</v>
      </c>
      <c r="G119" s="79">
        <f>IF(OR(E119="",F119=""),"",IF(ISERROR(E119*F119),"",TRUNC(E119*F119,2)))</f>
        <v>1.1399999999999999</v>
      </c>
    </row>
    <row r="120" spans="2:7" x14ac:dyDescent="0.25">
      <c r="B120" s="75">
        <v>6193</v>
      </c>
      <c r="C120" s="75" t="s">
        <v>185</v>
      </c>
      <c r="D120" s="75" t="s">
        <v>112</v>
      </c>
      <c r="E120" s="78" t="s">
        <v>186</v>
      </c>
      <c r="F120" s="78" t="s">
        <v>187</v>
      </c>
      <c r="G120" s="79">
        <f>IF(OR(E120="",F120=""),"",IF(ISERROR(E120*F120),"",TRUNC(E120*F120,2)))</f>
        <v>9.67</v>
      </c>
    </row>
    <row r="121" spans="2:7" x14ac:dyDescent="0.25">
      <c r="B121" s="75">
        <v>87316</v>
      </c>
      <c r="C121" s="75" t="s">
        <v>188</v>
      </c>
      <c r="D121" s="75" t="s">
        <v>34</v>
      </c>
      <c r="E121" s="78" t="s">
        <v>189</v>
      </c>
      <c r="F121" s="78" t="s">
        <v>190</v>
      </c>
      <c r="G121" s="79">
        <f>IF(OR(E121="",F121=""),"",IF(ISERROR(E121*F121),"",TRUNC(E121*F121,2)))</f>
        <v>6.65</v>
      </c>
    </row>
    <row r="122" spans="2:7" x14ac:dyDescent="0.25">
      <c r="B122" s="75">
        <v>88309</v>
      </c>
      <c r="C122" s="75" t="s">
        <v>25</v>
      </c>
      <c r="D122" s="75" t="s">
        <v>26</v>
      </c>
      <c r="E122" s="78" t="s">
        <v>191</v>
      </c>
      <c r="F122" s="78" t="s">
        <v>81</v>
      </c>
      <c r="G122" s="79">
        <f>IF(OR(E122="",F122=""),"",IF(ISERROR(E122*F122),"",TRUNC(E122*F122,2)))</f>
        <v>82.14</v>
      </c>
    </row>
    <row r="123" spans="2:7" x14ac:dyDescent="0.25">
      <c r="B123" s="75">
        <v>88316</v>
      </c>
      <c r="C123" s="75" t="s">
        <v>50</v>
      </c>
      <c r="D123" s="75" t="s">
        <v>26</v>
      </c>
      <c r="E123" s="78" t="s">
        <v>192</v>
      </c>
      <c r="F123" s="78" t="s">
        <v>70</v>
      </c>
      <c r="G123" s="79">
        <f>IF(OR(E123="",F123=""),"",IF(ISERROR(E123*F123),"",TRUNC(E123*F123,2)))</f>
        <v>52.51</v>
      </c>
    </row>
    <row r="124" spans="2:7" x14ac:dyDescent="0.25">
      <c r="B124" s="75">
        <v>88628</v>
      </c>
      <c r="C124" s="75" t="s">
        <v>193</v>
      </c>
      <c r="D124" s="75" t="s">
        <v>34</v>
      </c>
      <c r="E124" s="78" t="s">
        <v>194</v>
      </c>
      <c r="F124" s="78" t="s">
        <v>195</v>
      </c>
      <c r="G124" s="79">
        <f>IF(OR(E124="",F124=""),"",IF(ISERROR(E124*F124),"",TRUNC(E124*F124,2)))</f>
        <v>38.049999999999997</v>
      </c>
    </row>
    <row r="125" spans="2:7" x14ac:dyDescent="0.25">
      <c r="B125" s="75">
        <v>94970</v>
      </c>
      <c r="C125" s="75" t="s">
        <v>196</v>
      </c>
      <c r="D125" s="75" t="s">
        <v>34</v>
      </c>
      <c r="E125" s="78" t="s">
        <v>197</v>
      </c>
      <c r="F125" s="78" t="s">
        <v>198</v>
      </c>
      <c r="G125" s="79">
        <f>IF(OR(E125="",F125=""),"",IF(ISERROR(E125*F125),"",TRUNC(E125*F125,2)))</f>
        <v>34.369999999999997</v>
      </c>
    </row>
    <row r="126" spans="2:7" x14ac:dyDescent="0.25">
      <c r="B126" s="75">
        <v>97735</v>
      </c>
      <c r="C126" s="75" t="s">
        <v>199</v>
      </c>
      <c r="D126" s="75" t="s">
        <v>34</v>
      </c>
      <c r="E126" s="78" t="s">
        <v>200</v>
      </c>
      <c r="F126" s="78" t="s">
        <v>201</v>
      </c>
      <c r="G126" s="79">
        <f>IF(OR(E126="",F126=""),"",IF(ISERROR(E126*F126),"",TRUNC(E126*F126,2)))</f>
        <v>100.33</v>
      </c>
    </row>
    <row r="127" spans="2:7" x14ac:dyDescent="0.25">
      <c r="B127" s="75">
        <v>101616</v>
      </c>
      <c r="C127" s="75" t="s">
        <v>202</v>
      </c>
      <c r="D127" s="75" t="s">
        <v>58</v>
      </c>
      <c r="E127" s="78" t="s">
        <v>203</v>
      </c>
      <c r="F127" s="78" t="s">
        <v>204</v>
      </c>
      <c r="G127" s="79">
        <f>IF(OR(E127="",F127=""),"",IF(ISERROR(E127*F127),"",TRUNC(E127*F127,2)))</f>
        <v>4.38</v>
      </c>
    </row>
    <row r="128" spans="2:7" x14ac:dyDescent="0.25">
      <c r="F128" s="75" t="s">
        <v>105</v>
      </c>
      <c r="G128" s="79">
        <f>TRUNC(G111 * ('PLANILHA ORÇAMENTARIA'!J2/100), 2)</f>
        <v>98.91</v>
      </c>
    </row>
    <row r="129" spans="1:7" x14ac:dyDescent="0.25">
      <c r="A129" s="80"/>
      <c r="B129" s="80"/>
      <c r="C129" s="80"/>
      <c r="D129" s="80" t="s">
        <v>43</v>
      </c>
      <c r="E129" s="80"/>
      <c r="F129" s="80"/>
      <c r="G129" s="81">
        <f>TRUNC(G111 + G128, 2)</f>
        <v>504.8</v>
      </c>
    </row>
    <row r="130" spans="1:7" x14ac:dyDescent="0.25">
      <c r="A130" s="76">
        <v>3</v>
      </c>
      <c r="B130" s="76"/>
      <c r="C130" s="76" t="s">
        <v>92</v>
      </c>
      <c r="D130" s="76"/>
      <c r="E130" s="76"/>
      <c r="F130" s="76"/>
      <c r="G130" s="76"/>
    </row>
    <row r="131" spans="1:7" x14ac:dyDescent="0.25">
      <c r="A131" s="77">
        <v>3.1</v>
      </c>
      <c r="B131" s="77"/>
      <c r="C131" s="77" t="s">
        <v>107</v>
      </c>
      <c r="D131" s="77"/>
      <c r="E131" s="77"/>
      <c r="F131" s="77"/>
      <c r="G131" s="77"/>
    </row>
    <row r="132" spans="1:7" x14ac:dyDescent="0.25">
      <c r="A132" s="75" t="s">
        <v>82</v>
      </c>
      <c r="B132" s="75">
        <v>99261</v>
      </c>
      <c r="C132" s="75" t="s">
        <v>152</v>
      </c>
      <c r="D132" s="75" t="s">
        <v>112</v>
      </c>
      <c r="G132" s="79">
        <f>SUM(G133:G143)</f>
        <v>1466.4599999999998</v>
      </c>
    </row>
    <row r="133" spans="1:7" x14ac:dyDescent="0.25">
      <c r="E133" s="78" t="s">
        <v>60</v>
      </c>
      <c r="F133" s="78" t="s">
        <v>60</v>
      </c>
      <c r="G133" s="79" t="str">
        <f>IF(OR(E133="",F133=""),"",IF(ISERROR(E133*F133),"",TRUNC(E133*F133,2)))</f>
        <v/>
      </c>
    </row>
    <row r="134" spans="1:7" x14ac:dyDescent="0.25">
      <c r="B134" s="75">
        <v>660</v>
      </c>
      <c r="C134" s="75" t="s">
        <v>205</v>
      </c>
      <c r="D134" s="75" t="s">
        <v>32</v>
      </c>
      <c r="E134" s="78" t="s">
        <v>206</v>
      </c>
      <c r="F134" s="78" t="s">
        <v>207</v>
      </c>
      <c r="G134" s="79">
        <f>IF(OR(E134="",F134=""),"",IF(ISERROR(E134*F134),"",TRUNC(E134*F134,2)))</f>
        <v>59.22</v>
      </c>
    </row>
    <row r="135" spans="1:7" x14ac:dyDescent="0.25">
      <c r="B135" s="75">
        <v>25067</v>
      </c>
      <c r="C135" s="75" t="s">
        <v>208</v>
      </c>
      <c r="D135" s="75" t="s">
        <v>32</v>
      </c>
      <c r="E135" s="78" t="s">
        <v>209</v>
      </c>
      <c r="F135" s="78" t="s">
        <v>210</v>
      </c>
      <c r="G135" s="79">
        <f>IF(OR(E135="",F135=""),"",IF(ISERROR(E135*F135),"",TRUNC(E135*F135,2)))</f>
        <v>428.88</v>
      </c>
    </row>
    <row r="136" spans="1:7" x14ac:dyDescent="0.25">
      <c r="B136" s="75">
        <v>87316</v>
      </c>
      <c r="C136" s="75" t="s">
        <v>188</v>
      </c>
      <c r="D136" s="75" t="s">
        <v>34</v>
      </c>
      <c r="E136" s="78" t="s">
        <v>211</v>
      </c>
      <c r="F136" s="78" t="s">
        <v>190</v>
      </c>
      <c r="G136" s="79">
        <f>IF(OR(E136="",F136=""),"",IF(ISERROR(E136*F136),"",TRUNC(E136*F136,2)))</f>
        <v>21.88</v>
      </c>
    </row>
    <row r="137" spans="1:7" x14ac:dyDescent="0.25">
      <c r="B137" s="75">
        <v>88309</v>
      </c>
      <c r="C137" s="75" t="s">
        <v>25</v>
      </c>
      <c r="D137" s="75" t="s">
        <v>26</v>
      </c>
      <c r="E137" s="78" t="s">
        <v>212</v>
      </c>
      <c r="F137" s="78" t="s">
        <v>81</v>
      </c>
      <c r="G137" s="79">
        <f>IF(OR(E137="",F137=""),"",IF(ISERROR(E137*F137),"",TRUNC(E137*F137,2)))</f>
        <v>366.79</v>
      </c>
    </row>
    <row r="138" spans="1:7" x14ac:dyDescent="0.25">
      <c r="B138" s="75">
        <v>88316</v>
      </c>
      <c r="C138" s="75" t="s">
        <v>50</v>
      </c>
      <c r="D138" s="75" t="s">
        <v>26</v>
      </c>
      <c r="E138" s="78" t="s">
        <v>213</v>
      </c>
      <c r="F138" s="78" t="s">
        <v>70</v>
      </c>
      <c r="G138" s="79">
        <f>IF(OR(E138="",F138=""),"",IF(ISERROR(E138*F138),"",TRUNC(E138*F138,2)))</f>
        <v>234.48</v>
      </c>
    </row>
    <row r="139" spans="1:7" x14ac:dyDescent="0.25">
      <c r="B139" s="75">
        <v>88628</v>
      </c>
      <c r="C139" s="75" t="s">
        <v>193</v>
      </c>
      <c r="D139" s="75" t="s">
        <v>34</v>
      </c>
      <c r="E139" s="78" t="s">
        <v>214</v>
      </c>
      <c r="F139" s="78" t="s">
        <v>195</v>
      </c>
      <c r="G139" s="79">
        <f>IF(OR(E139="",F139=""),"",IF(ISERROR(E139*F139),"",TRUNC(E139*F139,2)))</f>
        <v>212.36</v>
      </c>
    </row>
    <row r="140" spans="1:7" x14ac:dyDescent="0.25">
      <c r="B140" s="75">
        <v>89993</v>
      </c>
      <c r="C140" s="75" t="s">
        <v>215</v>
      </c>
      <c r="D140" s="75" t="s">
        <v>34</v>
      </c>
      <c r="E140" s="78" t="s">
        <v>216</v>
      </c>
      <c r="F140" s="78" t="s">
        <v>217</v>
      </c>
      <c r="G140" s="79">
        <f>IF(OR(E140="",F140=""),"",IF(ISERROR(E140*F140),"",TRUNC(E140*F140,2)))</f>
        <v>57.34</v>
      </c>
    </row>
    <row r="141" spans="1:7" x14ac:dyDescent="0.25">
      <c r="B141" s="75">
        <v>89995</v>
      </c>
      <c r="C141" s="75" t="s">
        <v>218</v>
      </c>
      <c r="D141" s="75" t="s">
        <v>34</v>
      </c>
      <c r="E141" s="78" t="s">
        <v>219</v>
      </c>
      <c r="F141" s="78" t="s">
        <v>220</v>
      </c>
      <c r="G141" s="79">
        <f>IF(OR(E141="",F141=""),"",IF(ISERROR(E141*F141),"",TRUNC(E141*F141,2)))</f>
        <v>41.36</v>
      </c>
    </row>
    <row r="142" spans="1:7" x14ac:dyDescent="0.25">
      <c r="B142" s="75">
        <v>89996</v>
      </c>
      <c r="C142" s="75" t="s">
        <v>221</v>
      </c>
      <c r="D142" s="75" t="s">
        <v>52</v>
      </c>
      <c r="E142" s="78" t="s">
        <v>222</v>
      </c>
      <c r="F142" s="78" t="s">
        <v>223</v>
      </c>
      <c r="G142" s="79">
        <f>IF(OR(E142="",F142=""),"",IF(ISERROR(E142*F142),"",TRUNC(E142*F142,2)))</f>
        <v>23.61</v>
      </c>
    </row>
    <row r="143" spans="1:7" x14ac:dyDescent="0.25">
      <c r="B143" s="75">
        <v>89998</v>
      </c>
      <c r="C143" s="75" t="s">
        <v>224</v>
      </c>
      <c r="D143" s="75" t="s">
        <v>52</v>
      </c>
      <c r="E143" s="78" t="s">
        <v>225</v>
      </c>
      <c r="F143" s="78" t="s">
        <v>226</v>
      </c>
      <c r="G143" s="79">
        <f>IF(OR(E143="",F143=""),"",IF(ISERROR(E143*F143),"",TRUNC(E143*F143,2)))</f>
        <v>20.54</v>
      </c>
    </row>
    <row r="144" spans="1:7" x14ac:dyDescent="0.25">
      <c r="F144" s="75" t="s">
        <v>105</v>
      </c>
      <c r="G144" s="79">
        <f>TRUNC(G132 * ('PLANILHA ORÇAMENTARIA'!J2/100), 2)</f>
        <v>357.37</v>
      </c>
    </row>
    <row r="145" spans="1:7" x14ac:dyDescent="0.25">
      <c r="A145" s="80"/>
      <c r="B145" s="80"/>
      <c r="C145" s="80"/>
      <c r="D145" s="80" t="s">
        <v>43</v>
      </c>
      <c r="E145" s="80"/>
      <c r="F145" s="80"/>
      <c r="G145" s="81">
        <f>TRUNC(G132 + G144, 2)</f>
        <v>1823.83</v>
      </c>
    </row>
    <row r="146" spans="1:7" x14ac:dyDescent="0.25">
      <c r="A146" s="75" t="s">
        <v>110</v>
      </c>
      <c r="B146" s="75">
        <v>99282</v>
      </c>
      <c r="C146" s="75" t="s">
        <v>153</v>
      </c>
      <c r="D146" s="75" t="s">
        <v>112</v>
      </c>
      <c r="G146" s="79">
        <f>SUM(G147:G157)</f>
        <v>2683.2300000000005</v>
      </c>
    </row>
    <row r="147" spans="1:7" x14ac:dyDescent="0.25">
      <c r="E147" s="78" t="s">
        <v>60</v>
      </c>
      <c r="F147" s="78" t="s">
        <v>60</v>
      </c>
      <c r="G147" s="79" t="str">
        <f>IF(OR(E147="",F147=""),"",IF(ISERROR(E147*F147),"",TRUNC(E147*F147,2)))</f>
        <v/>
      </c>
    </row>
    <row r="148" spans="1:7" x14ac:dyDescent="0.25">
      <c r="B148" s="75">
        <v>660</v>
      </c>
      <c r="C148" s="75" t="s">
        <v>205</v>
      </c>
      <c r="D148" s="75" t="s">
        <v>32</v>
      </c>
      <c r="E148" s="78" t="s">
        <v>227</v>
      </c>
      <c r="F148" s="78" t="s">
        <v>207</v>
      </c>
      <c r="G148" s="79">
        <f>IF(OR(E148="",F148=""),"",IF(ISERROR(E148*F148),"",TRUNC(E148*F148,2)))</f>
        <v>110.28</v>
      </c>
    </row>
    <row r="149" spans="1:7" x14ac:dyDescent="0.25">
      <c r="B149" s="75">
        <v>25067</v>
      </c>
      <c r="C149" s="75" t="s">
        <v>208</v>
      </c>
      <c r="D149" s="75" t="s">
        <v>32</v>
      </c>
      <c r="E149" s="78" t="s">
        <v>228</v>
      </c>
      <c r="F149" s="78" t="s">
        <v>210</v>
      </c>
      <c r="G149" s="79">
        <f>IF(OR(E149="",F149=""),"",IF(ISERROR(E149*F149),"",TRUNC(E149*F149,2)))</f>
        <v>798.61</v>
      </c>
    </row>
    <row r="150" spans="1:7" x14ac:dyDescent="0.25">
      <c r="B150" s="75">
        <v>87316</v>
      </c>
      <c r="C150" s="75" t="s">
        <v>188</v>
      </c>
      <c r="D150" s="75" t="s">
        <v>34</v>
      </c>
      <c r="E150" s="78" t="s">
        <v>229</v>
      </c>
      <c r="F150" s="78" t="s">
        <v>190</v>
      </c>
      <c r="G150" s="79">
        <f>IF(OR(E150="",F150=""),"",IF(ISERROR(E150*F150),"",TRUNC(E150*F150,2)))</f>
        <v>40.76</v>
      </c>
    </row>
    <row r="151" spans="1:7" x14ac:dyDescent="0.25">
      <c r="B151" s="75">
        <v>88309</v>
      </c>
      <c r="C151" s="75" t="s">
        <v>25</v>
      </c>
      <c r="D151" s="75" t="s">
        <v>26</v>
      </c>
      <c r="E151" s="78" t="s">
        <v>230</v>
      </c>
      <c r="F151" s="78" t="s">
        <v>81</v>
      </c>
      <c r="G151" s="79">
        <f>IF(OR(E151="",F151=""),"",IF(ISERROR(E151*F151),"",TRUNC(E151*F151,2)))</f>
        <v>688.43</v>
      </c>
    </row>
    <row r="152" spans="1:7" x14ac:dyDescent="0.25">
      <c r="B152" s="75">
        <v>88316</v>
      </c>
      <c r="C152" s="75" t="s">
        <v>50</v>
      </c>
      <c r="D152" s="75" t="s">
        <v>26</v>
      </c>
      <c r="E152" s="78" t="s">
        <v>231</v>
      </c>
      <c r="F152" s="78" t="s">
        <v>70</v>
      </c>
      <c r="G152" s="79">
        <f>IF(OR(E152="",F152=""),"",IF(ISERROR(E152*F152),"",TRUNC(E152*F152,2)))</f>
        <v>440.11</v>
      </c>
    </row>
    <row r="153" spans="1:7" x14ac:dyDescent="0.25">
      <c r="B153" s="75">
        <v>88628</v>
      </c>
      <c r="C153" s="75" t="s">
        <v>193</v>
      </c>
      <c r="D153" s="75" t="s">
        <v>34</v>
      </c>
      <c r="E153" s="78" t="s">
        <v>232</v>
      </c>
      <c r="F153" s="78" t="s">
        <v>195</v>
      </c>
      <c r="G153" s="79">
        <f>IF(OR(E153="",F153=""),"",IF(ISERROR(E153*F153),"",TRUNC(E153*F153,2)))</f>
        <v>408.78</v>
      </c>
    </row>
    <row r="154" spans="1:7" x14ac:dyDescent="0.25">
      <c r="B154" s="75">
        <v>89993</v>
      </c>
      <c r="C154" s="75" t="s">
        <v>215</v>
      </c>
      <c r="D154" s="75" t="s">
        <v>34</v>
      </c>
      <c r="E154" s="78" t="s">
        <v>216</v>
      </c>
      <c r="F154" s="78" t="s">
        <v>217</v>
      </c>
      <c r="G154" s="79">
        <f>IF(OR(E154="",F154=""),"",IF(ISERROR(E154*F154),"",TRUNC(E154*F154,2)))</f>
        <v>57.34</v>
      </c>
    </row>
    <row r="155" spans="1:7" x14ac:dyDescent="0.25">
      <c r="B155" s="75">
        <v>89995</v>
      </c>
      <c r="C155" s="75" t="s">
        <v>218</v>
      </c>
      <c r="D155" s="75" t="s">
        <v>34</v>
      </c>
      <c r="E155" s="78" t="s">
        <v>233</v>
      </c>
      <c r="F155" s="78" t="s">
        <v>220</v>
      </c>
      <c r="G155" s="79">
        <f>IF(OR(E155="",F155=""),"",IF(ISERROR(E155*F155),"",TRUNC(E155*F155,2)))</f>
        <v>77.069999999999993</v>
      </c>
    </row>
    <row r="156" spans="1:7" x14ac:dyDescent="0.25">
      <c r="B156" s="75">
        <v>89996</v>
      </c>
      <c r="C156" s="75" t="s">
        <v>221</v>
      </c>
      <c r="D156" s="75" t="s">
        <v>52</v>
      </c>
      <c r="E156" s="78" t="s">
        <v>222</v>
      </c>
      <c r="F156" s="78" t="s">
        <v>223</v>
      </c>
      <c r="G156" s="79">
        <f>IF(OR(E156="",F156=""),"",IF(ISERROR(E156*F156),"",TRUNC(E156*F156,2)))</f>
        <v>23.61</v>
      </c>
    </row>
    <row r="157" spans="1:7" x14ac:dyDescent="0.25">
      <c r="B157" s="75">
        <v>89998</v>
      </c>
      <c r="C157" s="75" t="s">
        <v>224</v>
      </c>
      <c r="D157" s="75" t="s">
        <v>52</v>
      </c>
      <c r="E157" s="78" t="s">
        <v>234</v>
      </c>
      <c r="F157" s="78" t="s">
        <v>226</v>
      </c>
      <c r="G157" s="79">
        <f>IF(OR(E157="",F157=""),"",IF(ISERROR(E157*F157),"",TRUNC(E157*F157,2)))</f>
        <v>38.24</v>
      </c>
    </row>
    <row r="158" spans="1:7" x14ac:dyDescent="0.25">
      <c r="F158" s="75" t="s">
        <v>105</v>
      </c>
      <c r="G158" s="79">
        <f>TRUNC(G146 * ('PLANILHA ORÇAMENTARIA'!J2/100), 2)</f>
        <v>653.9</v>
      </c>
    </row>
    <row r="159" spans="1:7" x14ac:dyDescent="0.25">
      <c r="A159" s="80"/>
      <c r="B159" s="80"/>
      <c r="C159" s="80"/>
      <c r="D159" s="80" t="s">
        <v>43</v>
      </c>
      <c r="E159" s="80"/>
      <c r="F159" s="80"/>
      <c r="G159" s="81">
        <f>TRUNC(G146 + G158, 2)</f>
        <v>3337.13</v>
      </c>
    </row>
    <row r="160" spans="1:7" x14ac:dyDescent="0.25">
      <c r="A160" s="76">
        <v>4</v>
      </c>
      <c r="B160" s="76"/>
      <c r="C160" s="76" t="s">
        <v>236</v>
      </c>
      <c r="D160" s="76"/>
      <c r="E160" s="76"/>
      <c r="F160" s="76"/>
      <c r="G160" s="76"/>
    </row>
    <row r="161" spans="1:7" x14ac:dyDescent="0.25">
      <c r="A161" s="77">
        <v>4.0999999999999996</v>
      </c>
      <c r="B161" s="77"/>
      <c r="C161" s="77" t="s">
        <v>107</v>
      </c>
      <c r="D161" s="77"/>
      <c r="E161" s="77"/>
      <c r="F161" s="77"/>
      <c r="G161" s="77"/>
    </row>
    <row r="162" spans="1:7" x14ac:dyDescent="0.25">
      <c r="A162" s="75" t="s">
        <v>128</v>
      </c>
      <c r="B162" s="75">
        <v>88310</v>
      </c>
      <c r="C162" s="75" t="s">
        <v>237</v>
      </c>
      <c r="D162" s="75" t="s">
        <v>26</v>
      </c>
      <c r="G162" s="79">
        <f>SUM(G163:G171)</f>
        <v>25.919999999999995</v>
      </c>
    </row>
    <row r="163" spans="1:7" x14ac:dyDescent="0.25">
      <c r="E163" s="78" t="s">
        <v>60</v>
      </c>
      <c r="F163" s="78" t="s">
        <v>60</v>
      </c>
      <c r="G163" s="79" t="str">
        <f>IF(OR(E163="",F163=""),"",IF(ISERROR(E163*F163),"",TRUNC(E163*F163,2)))</f>
        <v/>
      </c>
    </row>
    <row r="164" spans="1:7" x14ac:dyDescent="0.25">
      <c r="B164" s="75">
        <v>4783</v>
      </c>
      <c r="C164" s="75" t="s">
        <v>238</v>
      </c>
      <c r="D164" s="75" t="s">
        <v>26</v>
      </c>
      <c r="E164" s="78" t="s">
        <v>61</v>
      </c>
      <c r="F164" s="78" t="s">
        <v>77</v>
      </c>
      <c r="G164" s="79">
        <f>IF(OR(E164="",F164=""),"",IF(ISERROR(E164*F164),"",TRUNC(E164*F164,2)))</f>
        <v>17.57</v>
      </c>
    </row>
    <row r="165" spans="1:7" x14ac:dyDescent="0.25">
      <c r="B165" s="75">
        <v>37370</v>
      </c>
      <c r="C165" s="75" t="s">
        <v>39</v>
      </c>
      <c r="D165" s="75" t="s">
        <v>26</v>
      </c>
      <c r="E165" s="78" t="s">
        <v>61</v>
      </c>
      <c r="F165" s="78" t="s">
        <v>63</v>
      </c>
      <c r="G165" s="79">
        <f>IF(OR(E165="",F165=""),"",IF(ISERROR(E165*F165),"",TRUNC(E165*F165,2)))</f>
        <v>2.4</v>
      </c>
    </row>
    <row r="166" spans="1:7" x14ac:dyDescent="0.25">
      <c r="B166" s="75">
        <v>37371</v>
      </c>
      <c r="C166" s="75" t="s">
        <v>40</v>
      </c>
      <c r="D166" s="75" t="s">
        <v>26</v>
      </c>
      <c r="E166" s="78" t="s">
        <v>61</v>
      </c>
      <c r="F166" s="78" t="s">
        <v>64</v>
      </c>
      <c r="G166" s="79">
        <f>IF(OR(E166="",F166=""),"",IF(ISERROR(E166*F166),"",TRUNC(E166*F166,2)))</f>
        <v>0.57999999999999996</v>
      </c>
    </row>
    <row r="167" spans="1:7" x14ac:dyDescent="0.25">
      <c r="B167" s="75">
        <v>37372</v>
      </c>
      <c r="C167" s="75" t="s">
        <v>41</v>
      </c>
      <c r="D167" s="75" t="s">
        <v>26</v>
      </c>
      <c r="E167" s="78" t="s">
        <v>61</v>
      </c>
      <c r="F167" s="78" t="s">
        <v>65</v>
      </c>
      <c r="G167" s="79">
        <f>IF(OR(E167="",F167=""),"",IF(ISERROR(E167*F167),"",TRUNC(E167*F167,2)))</f>
        <v>1.34</v>
      </c>
    </row>
    <row r="168" spans="1:7" x14ac:dyDescent="0.25">
      <c r="B168" s="75">
        <v>37373</v>
      </c>
      <c r="C168" s="75" t="s">
        <v>42</v>
      </c>
      <c r="D168" s="75" t="s">
        <v>26</v>
      </c>
      <c r="E168" s="78" t="s">
        <v>61</v>
      </c>
      <c r="F168" s="78" t="s">
        <v>66</v>
      </c>
      <c r="G168" s="79">
        <f>IF(OR(E168="",F168=""),"",IF(ISERROR(E168*F168),"",TRUNC(E168*F168,2)))</f>
        <v>0.04</v>
      </c>
    </row>
    <row r="169" spans="1:7" x14ac:dyDescent="0.25">
      <c r="B169" s="75">
        <v>43466</v>
      </c>
      <c r="C169" s="75" t="s">
        <v>56</v>
      </c>
      <c r="D169" s="75" t="s">
        <v>26</v>
      </c>
      <c r="E169" s="78" t="s">
        <v>61</v>
      </c>
      <c r="F169" s="78" t="s">
        <v>78</v>
      </c>
      <c r="G169" s="79">
        <f>IF(OR(E169="",F169=""),"",IF(ISERROR(E169*F169),"",TRUNC(E169*F169,2)))</f>
        <v>1.97</v>
      </c>
    </row>
    <row r="170" spans="1:7" x14ac:dyDescent="0.25">
      <c r="B170" s="75">
        <v>43490</v>
      </c>
      <c r="C170" s="75" t="s">
        <v>57</v>
      </c>
      <c r="D170" s="75" t="s">
        <v>26</v>
      </c>
      <c r="E170" s="78" t="s">
        <v>61</v>
      </c>
      <c r="F170" s="78" t="s">
        <v>79</v>
      </c>
      <c r="G170" s="79">
        <f>IF(OR(E170="",F170=""),"",IF(ISERROR(E170*F170),"",TRUNC(E170*F170,2)))</f>
        <v>1.73</v>
      </c>
    </row>
    <row r="171" spans="1:7" x14ac:dyDescent="0.25">
      <c r="B171" s="75">
        <v>95372</v>
      </c>
      <c r="C171" s="75" t="s">
        <v>239</v>
      </c>
      <c r="D171" s="75" t="s">
        <v>26</v>
      </c>
      <c r="E171" s="78" t="s">
        <v>61</v>
      </c>
      <c r="F171" s="78" t="s">
        <v>80</v>
      </c>
      <c r="G171" s="79">
        <f>IF(OR(E171="",F171=""),"",IF(ISERROR(E171*F171),"",TRUNC(E171*F171,2)))</f>
        <v>0.28999999999999998</v>
      </c>
    </row>
    <row r="172" spans="1:7" x14ac:dyDescent="0.25">
      <c r="F172" s="75" t="s">
        <v>105</v>
      </c>
      <c r="G172" s="79">
        <f>TRUNC(G162 * ('PLANILHA ORÇAMENTARIA'!J2/100), 2)</f>
        <v>6.31</v>
      </c>
    </row>
    <row r="173" spans="1:7" x14ac:dyDescent="0.25">
      <c r="A173" s="80"/>
      <c r="B173" s="80"/>
      <c r="C173" s="80"/>
      <c r="D173" s="80" t="s">
        <v>43</v>
      </c>
      <c r="E173" s="80"/>
      <c r="F173" s="80"/>
      <c r="G173" s="81">
        <f>TRUNC(G162 + G172, 2)</f>
        <v>32.229999999999997</v>
      </c>
    </row>
    <row r="174" spans="1:7" x14ac:dyDescent="0.25">
      <c r="A174" s="75" t="s">
        <v>129</v>
      </c>
      <c r="B174" s="75">
        <v>97171</v>
      </c>
      <c r="C174" s="75" t="s">
        <v>240</v>
      </c>
      <c r="D174" s="75" t="s">
        <v>112</v>
      </c>
      <c r="G174" s="79">
        <f>SUM(G175:G180)</f>
        <v>32.76</v>
      </c>
    </row>
    <row r="175" spans="1:7" x14ac:dyDescent="0.25">
      <c r="E175" s="78" t="s">
        <v>60</v>
      </c>
      <c r="F175" s="78" t="s">
        <v>60</v>
      </c>
      <c r="G175" s="79" t="str">
        <f>IF(OR(E175="",F175=""),"",IF(ISERROR(E175*F175),"",TRUNC(E175*F175,2)))</f>
        <v/>
      </c>
    </row>
    <row r="176" spans="1:7" x14ac:dyDescent="0.25">
      <c r="B176" s="75">
        <v>5631</v>
      </c>
      <c r="C176" s="75" t="s">
        <v>243</v>
      </c>
      <c r="D176" s="75" t="s">
        <v>48</v>
      </c>
      <c r="E176" s="78" t="s">
        <v>244</v>
      </c>
      <c r="F176" s="78" t="s">
        <v>245</v>
      </c>
      <c r="G176" s="79">
        <f>IF(OR(E176="",F176=""),"",IF(ISERROR(E176*F176),"",TRUNC(E176*F176,2)))</f>
        <v>6.51</v>
      </c>
    </row>
    <row r="177" spans="1:7" x14ac:dyDescent="0.25">
      <c r="B177" s="75">
        <v>5632</v>
      </c>
      <c r="C177" s="75" t="s">
        <v>246</v>
      </c>
      <c r="D177" s="75" t="s">
        <v>49</v>
      </c>
      <c r="E177" s="78" t="s">
        <v>247</v>
      </c>
      <c r="F177" s="78" t="s">
        <v>248</v>
      </c>
      <c r="G177" s="79">
        <f>IF(OR(E177="",F177=""),"",IF(ISERROR(E177*F177),"",TRUNC(E177*F177,2)))</f>
        <v>6.62</v>
      </c>
    </row>
    <row r="178" spans="1:7" x14ac:dyDescent="0.25">
      <c r="B178" s="75">
        <v>20078</v>
      </c>
      <c r="C178" s="75" t="s">
        <v>119</v>
      </c>
      <c r="D178" s="75" t="s">
        <v>32</v>
      </c>
      <c r="E178" s="78" t="s">
        <v>249</v>
      </c>
      <c r="F178" s="78" t="s">
        <v>121</v>
      </c>
      <c r="G178" s="79">
        <f>IF(OR(E178="",F178=""),"",IF(ISERROR(E178*F178),"",TRUNC(E178*F178,2)))</f>
        <v>0.95</v>
      </c>
    </row>
    <row r="179" spans="1:7" x14ac:dyDescent="0.25">
      <c r="B179" s="75">
        <v>88246</v>
      </c>
      <c r="C179" s="75" t="s">
        <v>122</v>
      </c>
      <c r="D179" s="75" t="s">
        <v>26</v>
      </c>
      <c r="E179" s="78" t="s">
        <v>250</v>
      </c>
      <c r="F179" s="78" t="s">
        <v>124</v>
      </c>
      <c r="G179" s="79">
        <f>IF(OR(E179="",F179=""),"",IF(ISERROR(E179*F179),"",TRUNC(E179*F179,2)))</f>
        <v>11.61</v>
      </c>
    </row>
    <row r="180" spans="1:7" x14ac:dyDescent="0.25">
      <c r="B180" s="75">
        <v>88316</v>
      </c>
      <c r="C180" s="75" t="s">
        <v>50</v>
      </c>
      <c r="D180" s="75" t="s">
        <v>26</v>
      </c>
      <c r="E180" s="78" t="s">
        <v>251</v>
      </c>
      <c r="F180" s="78" t="s">
        <v>70</v>
      </c>
      <c r="G180" s="79">
        <f>IF(OR(E180="",F180=""),"",IF(ISERROR(E180*F180),"",TRUNC(E180*F180,2)))</f>
        <v>7.07</v>
      </c>
    </row>
    <row r="181" spans="1:7" x14ac:dyDescent="0.25">
      <c r="F181" s="75" t="s">
        <v>105</v>
      </c>
      <c r="G181" s="79">
        <f>TRUNC(G174 * ('PLANILHA ORÇAMENTARIA'!J2/100), 2)</f>
        <v>7.98</v>
      </c>
    </row>
    <row r="182" spans="1:7" x14ac:dyDescent="0.25">
      <c r="A182" s="80"/>
      <c r="B182" s="80"/>
      <c r="C182" s="80"/>
      <c r="D182" s="80" t="s">
        <v>43</v>
      </c>
      <c r="E182" s="80"/>
      <c r="F182" s="80"/>
      <c r="G182" s="81">
        <f>TRUNC(G174 + G181, 2)</f>
        <v>40.74</v>
      </c>
    </row>
    <row r="183" spans="1:7" x14ac:dyDescent="0.25">
      <c r="A183" s="75" t="s">
        <v>135</v>
      </c>
      <c r="B183" s="75">
        <v>97162</v>
      </c>
      <c r="C183" s="75" t="s">
        <v>241</v>
      </c>
      <c r="D183" s="75" t="s">
        <v>112</v>
      </c>
      <c r="G183" s="79">
        <f>SUM(G184:G189)</f>
        <v>9.5299999999999994</v>
      </c>
    </row>
    <row r="184" spans="1:7" x14ac:dyDescent="0.25">
      <c r="E184" s="78" t="s">
        <v>60</v>
      </c>
      <c r="F184" s="78" t="s">
        <v>60</v>
      </c>
      <c r="G184" s="79" t="str">
        <f>IF(OR(E184="",F184=""),"",IF(ISERROR(E184*F184),"",TRUNC(E184*F184,2)))</f>
        <v/>
      </c>
    </row>
    <row r="185" spans="1:7" x14ac:dyDescent="0.25">
      <c r="B185" s="75">
        <v>5678</v>
      </c>
      <c r="C185" s="75" t="s">
        <v>113</v>
      </c>
      <c r="D185" s="75" t="s">
        <v>48</v>
      </c>
      <c r="E185" s="78" t="s">
        <v>252</v>
      </c>
      <c r="F185" s="78" t="s">
        <v>115</v>
      </c>
      <c r="G185" s="79">
        <f>IF(OR(E185="",F185=""),"",IF(ISERROR(E185*F185),"",TRUNC(E185*F185,2)))</f>
        <v>1.79</v>
      </c>
    </row>
    <row r="186" spans="1:7" x14ac:dyDescent="0.25">
      <c r="B186" s="75">
        <v>5679</v>
      </c>
      <c r="C186" s="75" t="s">
        <v>116</v>
      </c>
      <c r="D186" s="75" t="s">
        <v>49</v>
      </c>
      <c r="E186" s="78" t="s">
        <v>253</v>
      </c>
      <c r="F186" s="78" t="s">
        <v>118</v>
      </c>
      <c r="G186" s="79">
        <f>IF(OR(E186="",F186=""),"",IF(ISERROR(E186*F186),"",TRUNC(E186*F186,2)))</f>
        <v>1.87</v>
      </c>
    </row>
    <row r="187" spans="1:7" x14ac:dyDescent="0.25">
      <c r="B187" s="75">
        <v>20078</v>
      </c>
      <c r="C187" s="75" t="s">
        <v>119</v>
      </c>
      <c r="D187" s="75" t="s">
        <v>32</v>
      </c>
      <c r="E187" s="78" t="s">
        <v>254</v>
      </c>
      <c r="F187" s="78" t="s">
        <v>121</v>
      </c>
      <c r="G187" s="79">
        <f>IF(OR(E187="",F187=""),"",IF(ISERROR(E187*F187),"",TRUNC(E187*F187,2)))</f>
        <v>0.32</v>
      </c>
    </row>
    <row r="188" spans="1:7" x14ac:dyDescent="0.25">
      <c r="B188" s="75">
        <v>88246</v>
      </c>
      <c r="C188" s="75" t="s">
        <v>122</v>
      </c>
      <c r="D188" s="75" t="s">
        <v>26</v>
      </c>
      <c r="E188" s="78" t="s">
        <v>255</v>
      </c>
      <c r="F188" s="78" t="s">
        <v>124</v>
      </c>
      <c r="G188" s="79">
        <f>IF(OR(E188="",F188=""),"",IF(ISERROR(E188*F188),"",TRUNC(E188*F188,2)))</f>
        <v>3.45</v>
      </c>
    </row>
    <row r="189" spans="1:7" x14ac:dyDescent="0.25">
      <c r="B189" s="75">
        <v>88316</v>
      </c>
      <c r="C189" s="75" t="s">
        <v>50</v>
      </c>
      <c r="D189" s="75" t="s">
        <v>26</v>
      </c>
      <c r="E189" s="78" t="s">
        <v>256</v>
      </c>
      <c r="F189" s="78" t="s">
        <v>70</v>
      </c>
      <c r="G189" s="79">
        <f>IF(OR(E189="",F189=""),"",IF(ISERROR(E189*F189),"",TRUNC(E189*F189,2)))</f>
        <v>2.1</v>
      </c>
    </row>
    <row r="190" spans="1:7" x14ac:dyDescent="0.25">
      <c r="F190" s="75" t="s">
        <v>105</v>
      </c>
      <c r="G190" s="79">
        <f>TRUNC(G183 * ('PLANILHA ORÇAMENTARIA'!J2/100), 2)</f>
        <v>2.3199999999999998</v>
      </c>
    </row>
    <row r="191" spans="1:7" x14ac:dyDescent="0.25">
      <c r="A191" s="80"/>
      <c r="B191" s="80"/>
      <c r="C191" s="80"/>
      <c r="D191" s="80" t="s">
        <v>43</v>
      </c>
      <c r="E191" s="80"/>
      <c r="F191" s="80"/>
      <c r="G191" s="81">
        <f>TRUNC(G183 + G190, 2)</f>
        <v>11.85</v>
      </c>
    </row>
    <row r="192" spans="1:7" x14ac:dyDescent="0.25">
      <c r="A192" s="75" t="s">
        <v>136</v>
      </c>
      <c r="B192" s="75">
        <v>88321</v>
      </c>
      <c r="C192" s="75" t="s">
        <v>242</v>
      </c>
      <c r="D192" s="75" t="s">
        <v>26</v>
      </c>
      <c r="G192" s="79">
        <f>SUM(G193:G199)</f>
        <v>37.22</v>
      </c>
    </row>
    <row r="193" spans="1:7" x14ac:dyDescent="0.25">
      <c r="E193" s="78" t="s">
        <v>60</v>
      </c>
      <c r="F193" s="78" t="s">
        <v>60</v>
      </c>
      <c r="G193" s="79" t="str">
        <f>IF(OR(E193="",F193=""),"",IF(ISERROR(E193*F193),"",TRUNC(E193*F193,2)))</f>
        <v/>
      </c>
    </row>
    <row r="194" spans="1:7" x14ac:dyDescent="0.25">
      <c r="B194" s="75">
        <v>7153</v>
      </c>
      <c r="C194" s="75" t="s">
        <v>257</v>
      </c>
      <c r="D194" s="75" t="s">
        <v>26</v>
      </c>
      <c r="E194" s="78" t="s">
        <v>61</v>
      </c>
      <c r="F194" s="78" t="s">
        <v>258</v>
      </c>
      <c r="G194" s="79">
        <f>IF(OR(E194="",F194=""),"",IF(ISERROR(E194*F194),"",TRUNC(E194*F194,2)))</f>
        <v>34.659999999999997</v>
      </c>
    </row>
    <row r="195" spans="1:7" x14ac:dyDescent="0.25">
      <c r="B195" s="75">
        <v>37372</v>
      </c>
      <c r="C195" s="75" t="s">
        <v>41</v>
      </c>
      <c r="D195" s="75" t="s">
        <v>26</v>
      </c>
      <c r="E195" s="78" t="s">
        <v>61</v>
      </c>
      <c r="F195" s="78" t="s">
        <v>65</v>
      </c>
      <c r="G195" s="79">
        <f>IF(OR(E195="",F195=""),"",IF(ISERROR(E195*F195),"",TRUNC(E195*F195,2)))</f>
        <v>1.34</v>
      </c>
    </row>
    <row r="196" spans="1:7" x14ac:dyDescent="0.25">
      <c r="B196" s="75">
        <v>37373</v>
      </c>
      <c r="C196" s="75" t="s">
        <v>42</v>
      </c>
      <c r="D196" s="75" t="s">
        <v>26</v>
      </c>
      <c r="E196" s="78" t="s">
        <v>61</v>
      </c>
      <c r="F196" s="78" t="s">
        <v>66</v>
      </c>
      <c r="G196" s="79">
        <f>IF(OR(E196="",F196=""),"",IF(ISERROR(E196*F196),"",TRUNC(E196*F196,2)))</f>
        <v>0.04</v>
      </c>
    </row>
    <row r="197" spans="1:7" x14ac:dyDescent="0.25">
      <c r="B197" s="75">
        <v>43458</v>
      </c>
      <c r="C197" s="75" t="s">
        <v>259</v>
      </c>
      <c r="D197" s="75" t="s">
        <v>26</v>
      </c>
      <c r="E197" s="78" t="s">
        <v>61</v>
      </c>
      <c r="F197" s="78" t="s">
        <v>260</v>
      </c>
      <c r="G197" s="79">
        <f>IF(OR(E197="",F197=""),"",IF(ISERROR(E197*F197),"",TRUNC(E197*F197,2)))</f>
        <v>0.06</v>
      </c>
    </row>
    <row r="198" spans="1:7" x14ac:dyDescent="0.25">
      <c r="B198" s="75">
        <v>43482</v>
      </c>
      <c r="C198" s="75" t="s">
        <v>261</v>
      </c>
      <c r="D198" s="75" t="s">
        <v>26</v>
      </c>
      <c r="E198" s="78" t="s">
        <v>61</v>
      </c>
      <c r="F198" s="78" t="s">
        <v>262</v>
      </c>
      <c r="G198" s="79">
        <f>IF(OR(E198="",F198=""),"",IF(ISERROR(E198*F198),"",TRUNC(E198*F198,2)))</f>
        <v>0.79</v>
      </c>
    </row>
    <row r="199" spans="1:7" x14ac:dyDescent="0.25">
      <c r="B199" s="75">
        <v>95383</v>
      </c>
      <c r="C199" s="75" t="s">
        <v>263</v>
      </c>
      <c r="D199" s="75" t="s">
        <v>26</v>
      </c>
      <c r="E199" s="78" t="s">
        <v>61</v>
      </c>
      <c r="F199" s="78" t="s">
        <v>264</v>
      </c>
      <c r="G199" s="79">
        <f>IF(OR(E199="",F199=""),"",IF(ISERROR(E199*F199),"",TRUNC(E199*F199,2)))</f>
        <v>0.33</v>
      </c>
    </row>
    <row r="200" spans="1:7" x14ac:dyDescent="0.25">
      <c r="F200" s="75" t="s">
        <v>105</v>
      </c>
      <c r="G200" s="79">
        <f>TRUNC(G192 * ('PLANILHA ORÇAMENTARIA'!J2/100), 2)</f>
        <v>9.07</v>
      </c>
    </row>
    <row r="201" spans="1:7" x14ac:dyDescent="0.25">
      <c r="A201" s="80"/>
      <c r="B201" s="80"/>
      <c r="C201" s="80"/>
      <c r="D201" s="80" t="s">
        <v>43</v>
      </c>
      <c r="E201" s="80"/>
      <c r="F201" s="80"/>
      <c r="G201" s="81">
        <f>TRUNC(G192 + G200, 2)</f>
        <v>46.29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PLANILHA ORÇAMENTARIA</vt:lpstr>
      <vt:lpstr>ORC_COPY</vt:lpstr>
      <vt:lpstr>COMP_COPY</vt:lpstr>
      <vt:lpstr>PLANILHA DE COMPOSIÇÕES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Eder Freitas</dc:creator>
  <cp:lastModifiedBy>Eder Freitas</cp:lastModifiedBy>
  <dcterms:created xsi:type="dcterms:W3CDTF">2025-04-18T20:40:56Z</dcterms:created>
  <dcterms:modified xsi:type="dcterms:W3CDTF">2025-04-26T05:47:10Z</dcterms:modified>
</cp:coreProperties>
</file>